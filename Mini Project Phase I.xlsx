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34723eeeb32cf5/ドキュメント/Entri Learning/Mini Project/"/>
    </mc:Choice>
  </mc:AlternateContent>
  <xr:revisionPtr revIDLastSave="0" documentId="8_{E809FF2B-F150-49B6-8EE4-7F8D466FFDD1}" xr6:coauthVersionLast="47" xr6:coauthVersionMax="47" xr10:uidLastSave="{00000000-0000-0000-0000-000000000000}"/>
  <bookViews>
    <workbookView xWindow="-110" yWindow="-110" windowWidth="19420" windowHeight="11500" xr2:uid="{4663F479-4CC1-4CBB-B172-0BDE821E7525}"/>
  </bookViews>
  <sheets>
    <sheet name="Cleaned Data Se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5" l="1" a="1"/>
  <c r="C52" i="5" s="1"/>
  <c r="C50" i="5" a="1"/>
  <c r="C50" i="5" s="1"/>
  <c r="C49" i="5" a="1"/>
  <c r="C49" i="5" s="1"/>
  <c r="C48" i="5" a="1"/>
  <c r="C48" i="5" s="1"/>
  <c r="C47" i="5" a="1"/>
  <c r="C47" i="5" s="1"/>
  <c r="C46" i="5" a="1"/>
  <c r="C46" i="5" s="1"/>
  <c r="C45" i="5" a="1"/>
  <c r="C45" i="5" s="1"/>
  <c r="C44" i="5" a="1"/>
  <c r="C44" i="5" s="1"/>
  <c r="C43" i="5" a="1"/>
  <c r="C43" i="5" s="1"/>
  <c r="C42" i="5" a="1"/>
  <c r="C42" i="5" s="1"/>
  <c r="C41" i="5" a="1"/>
  <c r="C41" i="5" s="1"/>
  <c r="C40" i="5" a="1"/>
  <c r="C40" i="5" s="1"/>
  <c r="C35" i="5" a="1"/>
  <c r="C35" i="5" s="1"/>
  <c r="G1007" i="5"/>
  <c r="G1008" i="5" s="1"/>
  <c r="G1006" i="5"/>
  <c r="C657" i="5" a="1"/>
  <c r="C657" i="5" s="1"/>
  <c r="C645" i="5" a="1"/>
  <c r="C645" i="5" s="1"/>
  <c r="C587" i="5" a="1"/>
  <c r="C587" i="5" s="1"/>
  <c r="C580" i="5" a="1"/>
  <c r="C580" i="5" s="1"/>
  <c r="C568" i="5" a="1"/>
  <c r="C568" i="5" s="1"/>
  <c r="C545" i="5" a="1"/>
  <c r="C545" i="5" s="1"/>
  <c r="C533" i="5" a="1"/>
  <c r="C533" i="5" s="1"/>
  <c r="C507" i="5" a="1"/>
  <c r="C507" i="5" s="1"/>
  <c r="C483" i="5" a="1"/>
  <c r="C483" i="5" s="1"/>
  <c r="C482" i="5" a="1"/>
  <c r="C482" i="5" s="1"/>
  <c r="C480" i="5" a="1"/>
  <c r="C480" i="5" s="1"/>
  <c r="C446" i="5" a="1"/>
  <c r="C446" i="5" s="1"/>
  <c r="C444" i="5" a="1"/>
  <c r="C444" i="5" s="1"/>
  <c r="C434" i="5" a="1"/>
  <c r="C434" i="5" s="1"/>
  <c r="C432" i="5" a="1"/>
  <c r="C432" i="5" s="1"/>
  <c r="C427" i="5" a="1"/>
  <c r="C427" i="5" s="1"/>
  <c r="C423" i="5" a="1"/>
  <c r="C423" i="5" s="1"/>
  <c r="C419" i="5" a="1"/>
  <c r="C419" i="5" s="1"/>
  <c r="C402" i="5" a="1"/>
  <c r="C402" i="5" s="1"/>
  <c r="C361" i="5" a="1"/>
  <c r="C361" i="5" s="1"/>
  <c r="C357" i="5" a="1"/>
  <c r="C357" i="5" s="1"/>
  <c r="C355" i="5" a="1"/>
  <c r="C355" i="5" s="1"/>
  <c r="C278" i="5" a="1"/>
  <c r="C278" i="5" s="1"/>
  <c r="C277" i="5" a="1"/>
  <c r="C277" i="5" s="1"/>
  <c r="C214" i="5" a="1"/>
  <c r="C214" i="5" s="1"/>
  <c r="C204" i="5" a="1"/>
  <c r="C204" i="5" s="1"/>
  <c r="C84" i="5" a="1"/>
  <c r="C84" i="5" s="1"/>
  <c r="C67" i="5" a="1"/>
  <c r="C67" i="5" s="1"/>
  <c r="C25" i="5" a="1"/>
  <c r="C25" i="5" s="1"/>
  <c r="C24" i="5" a="1"/>
  <c r="C24" i="5" s="1"/>
  <c r="C23" i="5" a="1"/>
  <c r="C23" i="5" s="1"/>
  <c r="C22" i="5" a="1"/>
  <c r="C22" i="5" s="1"/>
  <c r="C21" i="5" a="1"/>
  <c r="C21" i="5" s="1"/>
  <c r="C20" i="5" a="1"/>
  <c r="C20" i="5" s="1"/>
  <c r="C19" i="5" a="1"/>
  <c r="C19" i="5" s="1"/>
  <c r="C18" i="5" a="1"/>
  <c r="C18" i="5" s="1"/>
  <c r="C17" i="5" a="1"/>
  <c r="C17" i="5" s="1"/>
  <c r="C16" i="5" a="1"/>
  <c r="C16" i="5" s="1"/>
  <c r="C15" i="5" a="1"/>
  <c r="C15" i="5" s="1"/>
  <c r="C14" i="5" a="1"/>
  <c r="C14" i="5" s="1"/>
  <c r="C13" i="5" a="1"/>
  <c r="C13" i="5" s="1"/>
  <c r="C12" i="5" a="1"/>
  <c r="C12" i="5" s="1"/>
  <c r="C11" i="5" a="1"/>
  <c r="C11" i="5" s="1"/>
  <c r="C10" i="5" a="1"/>
  <c r="C10" i="5" s="1"/>
  <c r="C9" i="5" a="1"/>
  <c r="C9" i="5" s="1"/>
  <c r="C8" i="5" a="1"/>
  <c r="C8" i="5" s="1"/>
  <c r="C7" i="5" a="1"/>
  <c r="C7" i="5" s="1"/>
  <c r="C6" i="5" a="1"/>
  <c r="C6" i="5" s="1"/>
  <c r="C5" i="5" a="1"/>
  <c r="C5" i="5" s="1"/>
  <c r="C4" i="5" a="1"/>
  <c r="C4" i="5" s="1"/>
  <c r="C3" i="5" a="1"/>
  <c r="C3" i="5" s="1"/>
  <c r="C2" i="5" a="1"/>
  <c r="C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<sst xmlns="http://schemas.openxmlformats.org/spreadsheetml/2006/main" count="4983" uniqueCount="713">
  <si>
    <t>Department</t>
  </si>
  <si>
    <t>Junior Engineer</t>
  </si>
  <si>
    <t>Neemrana</t>
  </si>
  <si>
    <t>Full Time</t>
  </si>
  <si>
    <t>Production Department</t>
  </si>
  <si>
    <t>Customer Service Representative</t>
  </si>
  <si>
    <t>Non Voice Department</t>
  </si>
  <si>
    <t>Assistant Manager</t>
  </si>
  <si>
    <t>Kolkata</t>
  </si>
  <si>
    <t>Airline Services Department</t>
  </si>
  <si>
    <t>Recruitment &amp; Talent Acquisition Department</t>
  </si>
  <si>
    <t>Diploma Engineer</t>
  </si>
  <si>
    <t>Production &amp; Manufacturing Department</t>
  </si>
  <si>
    <t>Manager</t>
  </si>
  <si>
    <t>Operations Department</t>
  </si>
  <si>
    <t>Engineering &amp; Manufacturing Department</t>
  </si>
  <si>
    <t>Senior Engineer</t>
  </si>
  <si>
    <t>Operations Support Department</t>
  </si>
  <si>
    <t>Post Graduate Engineer Trainee</t>
  </si>
  <si>
    <t>Junior Executive</t>
  </si>
  <si>
    <t>Quality Assurance and Testing Department</t>
  </si>
  <si>
    <t>Software Engineer Trainee</t>
  </si>
  <si>
    <t>Product Management - Technology Department</t>
  </si>
  <si>
    <t>Operations, Maintenance &amp; Support Department</t>
  </si>
  <si>
    <t>Team Management Lead</t>
  </si>
  <si>
    <t>Sales Support &amp; Operations Department</t>
  </si>
  <si>
    <t>Engineering Department</t>
  </si>
  <si>
    <t>Line Supervisor</t>
  </si>
  <si>
    <t>Deputy Manager</t>
  </si>
  <si>
    <t>Working Supervisor Trainee</t>
  </si>
  <si>
    <t>Assistant Engineer</t>
  </si>
  <si>
    <t>Production Engineer</t>
  </si>
  <si>
    <t>Chennai</t>
  </si>
  <si>
    <t>Maintenance Executive</t>
  </si>
  <si>
    <t>Service Delivery Department</t>
  </si>
  <si>
    <t>Engineer</t>
  </si>
  <si>
    <t>Sr. Executive</t>
  </si>
  <si>
    <t>Manufacturing Process Engineer</t>
  </si>
  <si>
    <t>Senior  Engineer Customer Service</t>
  </si>
  <si>
    <t>Ahmedabad</t>
  </si>
  <si>
    <t>Area Service Manager</t>
  </si>
  <si>
    <t>Marketing Quality Control</t>
  </si>
  <si>
    <t>Design Engineer</t>
  </si>
  <si>
    <t>HR Operations Department</t>
  </si>
  <si>
    <t>Management Staff</t>
  </si>
  <si>
    <t>Part Time</t>
  </si>
  <si>
    <t>Accounting &amp; Taxation Department</t>
  </si>
  <si>
    <t>Commercial Incharge</t>
  </si>
  <si>
    <t>Warehouse Engineer</t>
  </si>
  <si>
    <t>SCM &amp; Logistics Department</t>
  </si>
  <si>
    <t>New Delhi</t>
  </si>
  <si>
    <t>Senior Executive Engineer</t>
  </si>
  <si>
    <t>Procurement &amp; Purchase Department</t>
  </si>
  <si>
    <t>Other Department</t>
  </si>
  <si>
    <t>Warehouse Executive</t>
  </si>
  <si>
    <t>Intern</t>
  </si>
  <si>
    <t>BFSI, Investments &amp; Trading Department</t>
  </si>
  <si>
    <t>Air Conditioning</t>
  </si>
  <si>
    <t>Administration Staff</t>
  </si>
  <si>
    <t>Back Office Department</t>
  </si>
  <si>
    <t>Production  Department</t>
  </si>
  <si>
    <t>Software Development Department</t>
  </si>
  <si>
    <t>Engineer- Customer Service</t>
  </si>
  <si>
    <t>BD / Pre Sales Department</t>
  </si>
  <si>
    <t>Procurement Executive</t>
  </si>
  <si>
    <t>Quality controller  Department</t>
  </si>
  <si>
    <t>Management Department</t>
  </si>
  <si>
    <t>Junior Service Engineer</t>
  </si>
  <si>
    <t>Nayapalli</t>
  </si>
  <si>
    <t>Customer Success Department</t>
  </si>
  <si>
    <t>Manager Sales &amp; Marketing</t>
  </si>
  <si>
    <t>Deputy Sales Manager</t>
  </si>
  <si>
    <t>Ludhiana</t>
  </si>
  <si>
    <t>Operator</t>
  </si>
  <si>
    <t>Contractual</t>
  </si>
  <si>
    <t>Graduate Trainee</t>
  </si>
  <si>
    <t>Diploma Trainee Engineer</t>
  </si>
  <si>
    <t>Diploma Engineer Trainee</t>
  </si>
  <si>
    <t>Mumbai</t>
  </si>
  <si>
    <t>Finance Department</t>
  </si>
  <si>
    <t>Facility Management Department</t>
  </si>
  <si>
    <t>Project Engineer</t>
  </si>
  <si>
    <t>Hyderabad/Secunderabad</t>
  </si>
  <si>
    <t>Engineer Service Manager</t>
  </si>
  <si>
    <t>ASM- Customer Service</t>
  </si>
  <si>
    <t>Electrical Engineer</t>
  </si>
  <si>
    <t>Import Executive</t>
  </si>
  <si>
    <t>Senior Warehouse Engineer</t>
  </si>
  <si>
    <t>Quality Controller</t>
  </si>
  <si>
    <t>Management Trainee</t>
  </si>
  <si>
    <t>Junior Mechanical Engineer</t>
  </si>
  <si>
    <t>Sales Manager</t>
  </si>
  <si>
    <t>HVAV Department</t>
  </si>
  <si>
    <t>Corporate Training Department</t>
  </si>
  <si>
    <t>Service Engineer</t>
  </si>
  <si>
    <t>Spare Parts Incharge</t>
  </si>
  <si>
    <t>Store Management</t>
  </si>
  <si>
    <t>Administration &amp; Staff Department</t>
  </si>
  <si>
    <t>Quality Inspector</t>
  </si>
  <si>
    <t>Business Process Quality Department</t>
  </si>
  <si>
    <t>Embedded Software Engineer</t>
  </si>
  <si>
    <t>Assistant Manager Operations</t>
  </si>
  <si>
    <t>Sr. Executive-purchase</t>
  </si>
  <si>
    <t>System Engineer</t>
  </si>
  <si>
    <t>Executive Accountant</t>
  </si>
  <si>
    <t>Quality Engineer</t>
  </si>
  <si>
    <t>Incoming Quality Control</t>
  </si>
  <si>
    <t>Junior Engineer Production</t>
  </si>
  <si>
    <t>Quality Junior Engineer</t>
  </si>
  <si>
    <t>Junior engineer  Department</t>
  </si>
  <si>
    <t>Deputy Manager - Japanese Customers</t>
  </si>
  <si>
    <t>Machine Operator Trainee</t>
  </si>
  <si>
    <t>Material Controller</t>
  </si>
  <si>
    <t>Line Incharge</t>
  </si>
  <si>
    <t>Banking Operations Department</t>
  </si>
  <si>
    <t>Assistant Engineer Production</t>
  </si>
  <si>
    <t>Graduate Engineer</t>
  </si>
  <si>
    <t>Noida</t>
  </si>
  <si>
    <t>Indore</t>
  </si>
  <si>
    <t>Maintenance Team Lead</t>
  </si>
  <si>
    <t>Senior Executive - Sales &amp; Marketing</t>
  </si>
  <si>
    <t>Executive Store</t>
  </si>
  <si>
    <t>Stores &amp; Material Management Department</t>
  </si>
  <si>
    <t>Sr. Engineer</t>
  </si>
  <si>
    <t>Junior Engineer Quality Control</t>
  </si>
  <si>
    <t>Line Engineer</t>
  </si>
  <si>
    <t>Sales Executive</t>
  </si>
  <si>
    <t>Sales &amp; Operations Department</t>
  </si>
  <si>
    <t>Customer Service Department</t>
  </si>
  <si>
    <t>Freelancer</t>
  </si>
  <si>
    <t>Engineer Quality</t>
  </si>
  <si>
    <t>Warehouse Executive Officer</t>
  </si>
  <si>
    <t>Sri City</t>
  </si>
  <si>
    <t>Air Condition Technician</t>
  </si>
  <si>
    <t>Junior Engineer Trainee</t>
  </si>
  <si>
    <t>Quality control Department</t>
  </si>
  <si>
    <t>Air Conditioner Operator</t>
  </si>
  <si>
    <t>Spare Part Incharge</t>
  </si>
  <si>
    <t>Apprenticeship Trainee</t>
  </si>
  <si>
    <t>Quality Control Department</t>
  </si>
  <si>
    <t>Quality Control  Department</t>
  </si>
  <si>
    <t>Incoming Quality Control Department</t>
  </si>
  <si>
    <t>Gwalior</t>
  </si>
  <si>
    <t>Counter sales &amp; customer representative  Department</t>
  </si>
  <si>
    <t>Apprentice Engineer</t>
  </si>
  <si>
    <t>Junior Engineer Qaulity  Control</t>
  </si>
  <si>
    <t>Service Department</t>
  </si>
  <si>
    <t>Sales And Promotion Executive</t>
  </si>
  <si>
    <t>Sales Department</t>
  </si>
  <si>
    <t>Sales Engineer</t>
  </si>
  <si>
    <t>Junior Engineer Quality Control.</t>
  </si>
  <si>
    <t>Diploma Mechanical Engineer   (working remotely)</t>
  </si>
  <si>
    <t>Site Engineer Trainee</t>
  </si>
  <si>
    <t>Senior Executive</t>
  </si>
  <si>
    <t>B.Tech Mechanical</t>
  </si>
  <si>
    <t>Mechanical Engineering Department</t>
  </si>
  <si>
    <t>Executive Accounts</t>
  </si>
  <si>
    <t>Service Executive</t>
  </si>
  <si>
    <t>Sales executive  Department</t>
  </si>
  <si>
    <t>Deputy Manager Grade 1</t>
  </si>
  <si>
    <t>Engineers</t>
  </si>
  <si>
    <t>Technical Department</t>
  </si>
  <si>
    <t>Service  Department</t>
  </si>
  <si>
    <t>Job Security</t>
  </si>
  <si>
    <t>Graduate Engineer Trainee</t>
  </si>
  <si>
    <t>Pharmaceutical &amp; Biotechnology Department</t>
  </si>
  <si>
    <t>Quality Control</t>
  </si>
  <si>
    <t>Sr. Enginner</t>
  </si>
  <si>
    <t>Jr Quality Engineer</t>
  </si>
  <si>
    <t>Apprentice Trainee</t>
  </si>
  <si>
    <t>Executive</t>
  </si>
  <si>
    <t>Data Entry Operator</t>
  </si>
  <si>
    <t>Divisional Manager-Customer Support</t>
  </si>
  <si>
    <t>Team Manager</t>
  </si>
  <si>
    <t>QCPI Department</t>
  </si>
  <si>
    <t>Import &amp; Export Department</t>
  </si>
  <si>
    <t>Service Manager</t>
  </si>
  <si>
    <t>Mechanical Workshop Department</t>
  </si>
  <si>
    <t>Production Manager</t>
  </si>
  <si>
    <t>Counter Sales Executive</t>
  </si>
  <si>
    <t>Kanyakumari</t>
  </si>
  <si>
    <t>Export Manager</t>
  </si>
  <si>
    <t>Junior Qa Engineer</t>
  </si>
  <si>
    <t>Junior Quality Engineer</t>
  </si>
  <si>
    <t>IT Support Department</t>
  </si>
  <si>
    <t>Production Incharge</t>
  </si>
  <si>
    <t>Sales Promoter</t>
  </si>
  <si>
    <t>Mechanical Maintenance Engineer</t>
  </si>
  <si>
    <t>Senior Sales Executive</t>
  </si>
  <si>
    <t>Desktop Support Engineer</t>
  </si>
  <si>
    <t>Vijaywada</t>
  </si>
  <si>
    <t>Technical Support Department</t>
  </si>
  <si>
    <t>Chandigarh</t>
  </si>
  <si>
    <t>Lucknow</t>
  </si>
  <si>
    <t>Structural Design Engineer</t>
  </si>
  <si>
    <t>Nagpur</t>
  </si>
  <si>
    <t>Air Conditioner Department</t>
  </si>
  <si>
    <t>R&amp;D Operator</t>
  </si>
  <si>
    <t>Rajasthan</t>
  </si>
  <si>
    <t>Research &amp; Development Department</t>
  </si>
  <si>
    <t>Deputy Manager Grade 2</t>
  </si>
  <si>
    <t>Construction Engineering Department</t>
  </si>
  <si>
    <t>Jr Engineer</t>
  </si>
  <si>
    <t>Chakan</t>
  </si>
  <si>
    <t>HVAC  Department</t>
  </si>
  <si>
    <t>Finance &amp; Accounts Department</t>
  </si>
  <si>
    <t>Pune</t>
  </si>
  <si>
    <t>Okhla</t>
  </si>
  <si>
    <t>Supervisor</t>
  </si>
  <si>
    <t>Accounts Executive</t>
  </si>
  <si>
    <t>Accounts Department</t>
  </si>
  <si>
    <t>Assistant General Manager</t>
  </si>
  <si>
    <t>Qc Engineer</t>
  </si>
  <si>
    <t>Jaipur</t>
  </si>
  <si>
    <t>Hyderabad</t>
  </si>
  <si>
    <t>Manager - BSM Service Kerala</t>
  </si>
  <si>
    <t>Junior Excutive In Store</t>
  </si>
  <si>
    <t>Help Desk Operator</t>
  </si>
  <si>
    <t>Administration Executive</t>
  </si>
  <si>
    <t>Administration Department</t>
  </si>
  <si>
    <t>Associate Engineer</t>
  </si>
  <si>
    <t>Purchase Executive</t>
  </si>
  <si>
    <t>Senior Design Engineer</t>
  </si>
  <si>
    <t>Commercial Executive</t>
  </si>
  <si>
    <t>Work Controller</t>
  </si>
  <si>
    <t>Die Maintenance Department</t>
  </si>
  <si>
    <t>Production Operator</t>
  </si>
  <si>
    <t>Senior Manager</t>
  </si>
  <si>
    <t>Accounts Manager</t>
  </si>
  <si>
    <t>Manager-Service Sales</t>
  </si>
  <si>
    <t>Junior Engineer In Production</t>
  </si>
  <si>
    <t>Trainee</t>
  </si>
  <si>
    <t>General Manager</t>
  </si>
  <si>
    <t>Production Engineering</t>
  </si>
  <si>
    <t>Customer Care Officer</t>
  </si>
  <si>
    <t>Customer Service In Charge.</t>
  </si>
  <si>
    <t>Worker</t>
  </si>
  <si>
    <t>Production warehouse Department</t>
  </si>
  <si>
    <t>Diploma Mechanical Engineer</t>
  </si>
  <si>
    <t>Quality Inspection Department</t>
  </si>
  <si>
    <t>Strategic Management Department</t>
  </si>
  <si>
    <t>Dharwad</t>
  </si>
  <si>
    <t>Junior engineer Department</t>
  </si>
  <si>
    <t>Gurgaon</t>
  </si>
  <si>
    <t>Worker Trainee</t>
  </si>
  <si>
    <t>Air Conditioner</t>
  </si>
  <si>
    <t>Senior Production Engineer</t>
  </si>
  <si>
    <t>Mechanical Department</t>
  </si>
  <si>
    <t>Area Sales Manager</t>
  </si>
  <si>
    <t>Junior Engineer Electrical</t>
  </si>
  <si>
    <t>Workman</t>
  </si>
  <si>
    <t>Production Executive</t>
  </si>
  <si>
    <t>SCM Department</t>
  </si>
  <si>
    <t>Sales &amp; Marketing Department</t>
  </si>
  <si>
    <t>Air Conditioner Mechanic</t>
  </si>
  <si>
    <t>Kashmir Gate</t>
  </si>
  <si>
    <t>Store Engineer</t>
  </si>
  <si>
    <t>Technical Staff</t>
  </si>
  <si>
    <t>Bikaner</t>
  </si>
  <si>
    <t>New Media Department</t>
  </si>
  <si>
    <t>Production Engineering Department</t>
  </si>
  <si>
    <t>Data Department</t>
  </si>
  <si>
    <t>Warehouse Department</t>
  </si>
  <si>
    <t>Daikin  Department</t>
  </si>
  <si>
    <t>Business Associate</t>
  </si>
  <si>
    <t>Service Executive VRF VRV</t>
  </si>
  <si>
    <t>Executive Engineer</t>
  </si>
  <si>
    <t>Global Intern</t>
  </si>
  <si>
    <t>Japan</t>
  </si>
  <si>
    <t>Design Engineer Mechanical</t>
  </si>
  <si>
    <t>Senior Sales Manager</t>
  </si>
  <si>
    <t>Research Engineer</t>
  </si>
  <si>
    <t>Quality Assurance &amp; Quality Control Department</t>
  </si>
  <si>
    <t>Customer Care Executive</t>
  </si>
  <si>
    <t>Service Engineering Department</t>
  </si>
  <si>
    <t>Production Supervisor</t>
  </si>
  <si>
    <t>Satna</t>
  </si>
  <si>
    <t>Industrial Engineer</t>
  </si>
  <si>
    <t>Manesar</t>
  </si>
  <si>
    <t>Research Development Engineer</t>
  </si>
  <si>
    <t>Summer Intern</t>
  </si>
  <si>
    <t>Finance Executive</t>
  </si>
  <si>
    <t>Customer Service Executive</t>
  </si>
  <si>
    <t>Quality  control  Department</t>
  </si>
  <si>
    <t>Palwal</t>
  </si>
  <si>
    <t>Sales Marketing</t>
  </si>
  <si>
    <t>Alwar</t>
  </si>
  <si>
    <t>Process Associate</t>
  </si>
  <si>
    <t>Varanasi</t>
  </si>
  <si>
    <t>Junior Engineer Executive</t>
  </si>
  <si>
    <t>Junior Associate</t>
  </si>
  <si>
    <t>Product Engineer</t>
  </si>
  <si>
    <t>Accountant</t>
  </si>
  <si>
    <t>Retail Sales Officer</t>
  </si>
  <si>
    <t>Store Executive</t>
  </si>
  <si>
    <t>Team Leader</t>
  </si>
  <si>
    <t>Coimbatore</t>
  </si>
  <si>
    <t>Technical Support Engineer</t>
  </si>
  <si>
    <t>Mechanical Engineer</t>
  </si>
  <si>
    <t>Seals Executive RSO</t>
  </si>
  <si>
    <t>Gorakhpur</t>
  </si>
  <si>
    <t>Daikin Department</t>
  </si>
  <si>
    <t>Mumbai Suburban</t>
  </si>
  <si>
    <t>Engineer Customer Service</t>
  </si>
  <si>
    <t>Bhopal</t>
  </si>
  <si>
    <t>Bhiwadi</t>
  </si>
  <si>
    <t>Maintenance &amp; Production Department</t>
  </si>
  <si>
    <t>Junior Engineer In R&amp;D Department</t>
  </si>
  <si>
    <t>Senior Service Engineer</t>
  </si>
  <si>
    <t>Customer Service Associate</t>
  </si>
  <si>
    <t>Compensation &amp; Benefits Department</t>
  </si>
  <si>
    <t>Singapore</t>
  </si>
  <si>
    <t>Technicians Department</t>
  </si>
  <si>
    <t>Quality &amp; Production Department</t>
  </si>
  <si>
    <t>Showroom Manager</t>
  </si>
  <si>
    <t>Employee Department</t>
  </si>
  <si>
    <t>Technical Supervisor</t>
  </si>
  <si>
    <t>Quality Department</t>
  </si>
  <si>
    <t>Vijayawada</t>
  </si>
  <si>
    <t>Junior Associate Engineer</t>
  </si>
  <si>
    <t>Service Delivery Manager</t>
  </si>
  <si>
    <t>Jammu</t>
  </si>
  <si>
    <t>Production</t>
  </si>
  <si>
    <t>Senior Service Executive</t>
  </si>
  <si>
    <t>Technician</t>
  </si>
  <si>
    <t>Pawai</t>
  </si>
  <si>
    <t>Technician  Department</t>
  </si>
  <si>
    <t>Mau</t>
  </si>
  <si>
    <t>ITI Department</t>
  </si>
  <si>
    <t>Senior Sales Engineer</t>
  </si>
  <si>
    <t>Junior Engineer Mechanical</t>
  </si>
  <si>
    <t>Executive Quality Control</t>
  </si>
  <si>
    <t>Server Technical</t>
  </si>
  <si>
    <t>Amritsar</t>
  </si>
  <si>
    <t>Refrigeration &amp; Air Conditioning Department</t>
  </si>
  <si>
    <t>Retail Department</t>
  </si>
  <si>
    <t>Assistant Production Manager</t>
  </si>
  <si>
    <t>Customer Support Engineer</t>
  </si>
  <si>
    <t>Gaya</t>
  </si>
  <si>
    <t>Retail Store Manager</t>
  </si>
  <si>
    <t>Rewa</t>
  </si>
  <si>
    <t>Retail Store Operations Department</t>
  </si>
  <si>
    <t>JE- Supplier Quality Group</t>
  </si>
  <si>
    <t>Customer Service Engineer</t>
  </si>
  <si>
    <t>Utility Department</t>
  </si>
  <si>
    <t>Supplier Quality Assurance Engineer</t>
  </si>
  <si>
    <t>New Barrackpore</t>
  </si>
  <si>
    <t>Site Engineering Department</t>
  </si>
  <si>
    <t>Purchase Department</t>
  </si>
  <si>
    <t>service engineer Department</t>
  </si>
  <si>
    <t>Air conditioning  Department</t>
  </si>
  <si>
    <t>Alliances Department</t>
  </si>
  <si>
    <t>Tenali</t>
  </si>
  <si>
    <t>Deputy Manager Sales</t>
  </si>
  <si>
    <t>Employee Relations Department</t>
  </si>
  <si>
    <t>Thane</t>
  </si>
  <si>
    <t>Sr Engineer</t>
  </si>
  <si>
    <t>Store Controller</t>
  </si>
  <si>
    <t>Andhra Pradesh</t>
  </si>
  <si>
    <t>Marketing Department</t>
  </si>
  <si>
    <t>Associate Functional Consultant</t>
  </si>
  <si>
    <t>ISD Post</t>
  </si>
  <si>
    <t>Bhiwani</t>
  </si>
  <si>
    <t>Customer dealing and marketing  Department</t>
  </si>
  <si>
    <t>Installation &amp; Manitanance Department</t>
  </si>
  <si>
    <t>Panskura</t>
  </si>
  <si>
    <t>Welder</t>
  </si>
  <si>
    <t>Computer Operator</t>
  </si>
  <si>
    <t>Network &amp; System Administrator</t>
  </si>
  <si>
    <t>Maintains Department</t>
  </si>
  <si>
    <t>Hospitality Assistant</t>
  </si>
  <si>
    <t>Sr.engineer</t>
  </si>
  <si>
    <t>F&amp;B Service Department</t>
  </si>
  <si>
    <t>AC technician Department</t>
  </si>
  <si>
    <t>Karnal</t>
  </si>
  <si>
    <t>Fategunj</t>
  </si>
  <si>
    <t>Technical  Department</t>
  </si>
  <si>
    <t>Quality Controlar</t>
  </si>
  <si>
    <t>Quality Check Department</t>
  </si>
  <si>
    <t>Supply Chain Manager</t>
  </si>
  <si>
    <t>Riyadh</t>
  </si>
  <si>
    <t>Senior Business Development Manager</t>
  </si>
  <si>
    <t>Business Intelligence &amp; Analytics Department</t>
  </si>
  <si>
    <t>Bangalore</t>
  </si>
  <si>
    <t>Senior Customer Service Executive</t>
  </si>
  <si>
    <t>Quality Analyst</t>
  </si>
  <si>
    <t>Product Design Engineer</t>
  </si>
  <si>
    <t>Key Accounts Executive</t>
  </si>
  <si>
    <t>Andheri</t>
  </si>
  <si>
    <t>Senior Technician</t>
  </si>
  <si>
    <t>Full Department</t>
  </si>
  <si>
    <t>Air-condition  Department</t>
  </si>
  <si>
    <t>System Design Engineer</t>
  </si>
  <si>
    <t>Front Office Executive</t>
  </si>
  <si>
    <t>Bhiwandi</t>
  </si>
  <si>
    <t>Service Supervisor</t>
  </si>
  <si>
    <t>Machine Operator</t>
  </si>
  <si>
    <t>Bhubaneswar</t>
  </si>
  <si>
    <t>Branch Head Department</t>
  </si>
  <si>
    <t>CSR &amp; Sustainability Department</t>
  </si>
  <si>
    <t>Junior Executive Quality Control</t>
  </si>
  <si>
    <t>Kanchipuram</t>
  </si>
  <si>
    <t>Production Line Incharge</t>
  </si>
  <si>
    <t>IT Network Department</t>
  </si>
  <si>
    <t>Service engineer Department</t>
  </si>
  <si>
    <t>Planning Engineer</t>
  </si>
  <si>
    <t>Sales and marketing  Department</t>
  </si>
  <si>
    <t>Salesman</t>
  </si>
  <si>
    <t>Retail Sales Executive</t>
  </si>
  <si>
    <t>Secunderabad</t>
  </si>
  <si>
    <t>Site Engineer</t>
  </si>
  <si>
    <t>Senior Executive Commercial</t>
  </si>
  <si>
    <t>Service Center Incharge</t>
  </si>
  <si>
    <t>Service and project  Department</t>
  </si>
  <si>
    <t>Service Trainee</t>
  </si>
  <si>
    <t>B Class Boiler Attandent</t>
  </si>
  <si>
    <t>VRV Commissioning Engineer</t>
  </si>
  <si>
    <t>Commissioning engineer Department</t>
  </si>
  <si>
    <t>Computer operator Department</t>
  </si>
  <si>
    <t>Process Engineer</t>
  </si>
  <si>
    <t>Commercial Officer</t>
  </si>
  <si>
    <t>Service commercial excutive Department</t>
  </si>
  <si>
    <t>Assistant Technician</t>
  </si>
  <si>
    <t>Senior Patent Analyst</t>
  </si>
  <si>
    <t>Spare Parts Assistant Manager</t>
  </si>
  <si>
    <t>Senior Purchasing Specialist</t>
  </si>
  <si>
    <t>Assistant</t>
  </si>
  <si>
    <t>Bihar</t>
  </si>
  <si>
    <t>Assistant Executive</t>
  </si>
  <si>
    <t>Planning Department</t>
  </si>
  <si>
    <t>Site Supervisor</t>
  </si>
  <si>
    <t>Senior Manager Sales</t>
  </si>
  <si>
    <t>Issue Resolution Analyst</t>
  </si>
  <si>
    <t>Marketing  Department</t>
  </si>
  <si>
    <t>R&amp;D Department</t>
  </si>
  <si>
    <t>Quality control  Department</t>
  </si>
  <si>
    <t>Junior Executive Store</t>
  </si>
  <si>
    <t>Tirupati</t>
  </si>
  <si>
    <t>Lab engineer  Department</t>
  </si>
  <si>
    <t>Tech Support</t>
  </si>
  <si>
    <t>Senior Production Operator</t>
  </si>
  <si>
    <t>PE Department</t>
  </si>
  <si>
    <t>Patna</t>
  </si>
  <si>
    <t>Assistant Quality Engineer</t>
  </si>
  <si>
    <t>Mysore</t>
  </si>
  <si>
    <t>Khar West</t>
  </si>
  <si>
    <t>Back Office Computer Operator</t>
  </si>
  <si>
    <t>Amravati</t>
  </si>
  <si>
    <t>VRV Business  Department</t>
  </si>
  <si>
    <t>Laxmi Nagar</t>
  </si>
  <si>
    <t>Sales department Department</t>
  </si>
  <si>
    <t>Cost Trainee</t>
  </si>
  <si>
    <t>Store Incharge</t>
  </si>
  <si>
    <t>Customer Service Associate Executive</t>
  </si>
  <si>
    <t>Backend Department</t>
  </si>
  <si>
    <t>Development Engineer</t>
  </si>
  <si>
    <t>Air Conditioning Technician</t>
  </si>
  <si>
    <t>Production  Engineer</t>
  </si>
  <si>
    <t>Customer service Department</t>
  </si>
  <si>
    <t>Warehouse Incharge</t>
  </si>
  <si>
    <t>Service Delivery Head</t>
  </si>
  <si>
    <t>Hyderabad Central</t>
  </si>
  <si>
    <t>Material Engineer</t>
  </si>
  <si>
    <t>Gudngab</t>
  </si>
  <si>
    <t>Ernakulam</t>
  </si>
  <si>
    <t>Sales Executive (ISD)</t>
  </si>
  <si>
    <t>Associate</t>
  </si>
  <si>
    <t>Remote Sales Officer</t>
  </si>
  <si>
    <t>Banglore</t>
  </si>
  <si>
    <t>Bawel</t>
  </si>
  <si>
    <t>Assistant Supervisor</t>
  </si>
  <si>
    <t>Chakala</t>
  </si>
  <si>
    <t>Srinagar</t>
  </si>
  <si>
    <t>Regional Manager Marketing</t>
  </si>
  <si>
    <t>Deploma Trainee Engineer</t>
  </si>
  <si>
    <t>Machine Shop Incharge</t>
  </si>
  <si>
    <t>Receptionist  Department</t>
  </si>
  <si>
    <t>Branch Service Manager</t>
  </si>
  <si>
    <t>Sales and service Department</t>
  </si>
  <si>
    <t>Technical Advisor</t>
  </si>
  <si>
    <t>Project Department</t>
  </si>
  <si>
    <t>Regional Sales Officer</t>
  </si>
  <si>
    <t>Product Development Executive</t>
  </si>
  <si>
    <t>Jaharkhand</t>
  </si>
  <si>
    <t>Project Coordinator</t>
  </si>
  <si>
    <t>Mira Bhayandar</t>
  </si>
  <si>
    <t>Engineer Quality Control</t>
  </si>
  <si>
    <t>Hardware Department</t>
  </si>
  <si>
    <t>Kota</t>
  </si>
  <si>
    <t>Home appliances Department</t>
  </si>
  <si>
    <t>Banipark</t>
  </si>
  <si>
    <t>Narnaul</t>
  </si>
  <si>
    <t>Quality Control Inspector</t>
  </si>
  <si>
    <t>Tectonics  Department</t>
  </si>
  <si>
    <t>Technician Department</t>
  </si>
  <si>
    <t>Senior Operator</t>
  </si>
  <si>
    <t>Quality  Department</t>
  </si>
  <si>
    <t>Fitting Department</t>
  </si>
  <si>
    <t>Cost &amp; Management Trainee</t>
  </si>
  <si>
    <t>Line Operator</t>
  </si>
  <si>
    <t>Foreman</t>
  </si>
  <si>
    <t>Sales Coordinator</t>
  </si>
  <si>
    <t>Computer operating system  Department</t>
  </si>
  <si>
    <t>Assistant Store Incharge</t>
  </si>
  <si>
    <t>Sarvice Department</t>
  </si>
  <si>
    <t>Manager Service Operations</t>
  </si>
  <si>
    <t>Job Type</t>
  </si>
  <si>
    <t>Overall Rating</t>
  </si>
  <si>
    <t>Work Life Balance</t>
  </si>
  <si>
    <t>Skill Development</t>
  </si>
  <si>
    <t>Salary and Benefits</t>
  </si>
  <si>
    <t>Career Growth</t>
  </si>
  <si>
    <t>Review Submission Date</t>
  </si>
  <si>
    <t>Designation</t>
  </si>
  <si>
    <t>Tadepalligudem</t>
  </si>
  <si>
    <t>Ahmadnagar</t>
  </si>
  <si>
    <t xml:space="preserve"> Rajasthan</t>
  </si>
  <si>
    <t>Neyveli</t>
  </si>
  <si>
    <t>Surat</t>
  </si>
  <si>
    <t>Vadodara</t>
  </si>
  <si>
    <t>Jodhpur</t>
  </si>
  <si>
    <t>Goa</t>
  </si>
  <si>
    <t>Ranchi</t>
  </si>
  <si>
    <t>Jamnagar</t>
  </si>
  <si>
    <t>Kochi</t>
  </si>
  <si>
    <t>Satara</t>
  </si>
  <si>
    <t>Raipur</t>
  </si>
  <si>
    <t>Rajkot</t>
  </si>
  <si>
    <t>Aliganj</t>
  </si>
  <si>
    <t>Bardhaman</t>
  </si>
  <si>
    <t>Mansa</t>
  </si>
  <si>
    <t>Bareilly</t>
  </si>
  <si>
    <t>State</t>
  </si>
  <si>
    <t>City</t>
  </si>
  <si>
    <t xml:space="preserve">Diploma Engineer Trainee </t>
  </si>
  <si>
    <t>AC Technician</t>
  </si>
  <si>
    <t>AC technician  Department</t>
  </si>
  <si>
    <t>AC Tecnicion</t>
  </si>
  <si>
    <t>AC Technical</t>
  </si>
  <si>
    <t>AC technician repairs and home appliances  Department</t>
  </si>
  <si>
    <t>AC Mechanic</t>
  </si>
  <si>
    <t>HvAC Service Engineer</t>
  </si>
  <si>
    <t>AC repairing Department</t>
  </si>
  <si>
    <t>Daikin &amp; HitAChi Department</t>
  </si>
  <si>
    <t>AC lab engineer  Department</t>
  </si>
  <si>
    <t>AC technition Department</t>
  </si>
  <si>
    <t>HR Executive</t>
  </si>
  <si>
    <t>Asst. Executive HR</t>
  </si>
  <si>
    <t>HR Admin</t>
  </si>
  <si>
    <t>HR And Administration Executive</t>
  </si>
  <si>
    <t>Senior HR Executive</t>
  </si>
  <si>
    <t>HR Payroll Executive</t>
  </si>
  <si>
    <t>HR</t>
  </si>
  <si>
    <t>Executive HR And Admin</t>
  </si>
  <si>
    <t>DET</t>
  </si>
  <si>
    <t>Pitampur</t>
  </si>
  <si>
    <t>Alavara</t>
  </si>
  <si>
    <t xml:space="preserve">Assistant Engineer </t>
  </si>
  <si>
    <t>Unknown</t>
  </si>
  <si>
    <t>Andheri East,Chakala</t>
  </si>
  <si>
    <t>DET Operator</t>
  </si>
  <si>
    <t>DET Supervisor</t>
  </si>
  <si>
    <t>Diploma Engineer Trainee - DET</t>
  </si>
  <si>
    <t>Prayagraj</t>
  </si>
  <si>
    <t>New Delhi NCR</t>
  </si>
  <si>
    <t>Nagarjuna Nagar</t>
  </si>
  <si>
    <t>Telangana</t>
  </si>
  <si>
    <t>Tamil Nadu</t>
  </si>
  <si>
    <t>UAE</t>
  </si>
  <si>
    <t>Maharastra</t>
  </si>
  <si>
    <t>West Bengal</t>
  </si>
  <si>
    <t>Agra</t>
  </si>
  <si>
    <t>Uttar Pradesh</t>
  </si>
  <si>
    <t>Visakhapatnam</t>
  </si>
  <si>
    <t>Haryana</t>
  </si>
  <si>
    <t>Ahemdabad</t>
  </si>
  <si>
    <t>SanpadaNavi Mumbai</t>
  </si>
  <si>
    <t>Odisha</t>
  </si>
  <si>
    <t>Punjab</t>
  </si>
  <si>
    <t>Madhya Pradesh</t>
  </si>
  <si>
    <t>Kerala</t>
  </si>
  <si>
    <t>Gujarat</t>
  </si>
  <si>
    <t>Karnataka</t>
  </si>
  <si>
    <t>Dammam</t>
  </si>
  <si>
    <t>SaudiArabia</t>
  </si>
  <si>
    <t>Mangal Tower,Ranchi</t>
  </si>
  <si>
    <t>Jharkhand</t>
  </si>
  <si>
    <t>Jammu &amp; Kashmir</t>
  </si>
  <si>
    <t>Saudi Arabia</t>
  </si>
  <si>
    <t>Okhala</t>
  </si>
  <si>
    <t>Al Ain</t>
  </si>
  <si>
    <t>Neeemrana</t>
  </si>
  <si>
    <t>Management Information Systems Manager</t>
  </si>
  <si>
    <t>HVAC Service  &amp; Project Engineer</t>
  </si>
  <si>
    <t>QC Engineer</t>
  </si>
  <si>
    <t>ISD</t>
  </si>
  <si>
    <t>IQC PCB Analysis</t>
  </si>
  <si>
    <t>Tig &amp; Mig Welder</t>
  </si>
  <si>
    <t>R and D Engineer</t>
  </si>
  <si>
    <t>PCB Testing Engineer</t>
  </si>
  <si>
    <t>VRV Technician</t>
  </si>
  <si>
    <t>HVAC Supervisor</t>
  </si>
  <si>
    <t>HVAC Technician</t>
  </si>
  <si>
    <t>HVAC Technician Department</t>
  </si>
  <si>
    <t>Line Controller</t>
  </si>
  <si>
    <t>Ref&amp;Air Conditioning</t>
  </si>
  <si>
    <t>Computer Engineer</t>
  </si>
  <si>
    <t xml:space="preserve">General Sales Manager  </t>
  </si>
  <si>
    <t>HVAC Site Engineer</t>
  </si>
  <si>
    <t>HVAC Engineer</t>
  </si>
  <si>
    <t>Fresher Department</t>
  </si>
  <si>
    <t>HVAC Design And Project Engineer</t>
  </si>
  <si>
    <t>SPC</t>
  </si>
  <si>
    <t xml:space="preserve">Junior Engineer </t>
  </si>
  <si>
    <t>Manager Key Accounts</t>
  </si>
  <si>
    <t xml:space="preserve"> Sales Service &amp; Repair Department</t>
  </si>
  <si>
    <t>Production and Manufacturing Department</t>
  </si>
  <si>
    <t>Maintenance Department</t>
  </si>
  <si>
    <t>Senior operator Department</t>
  </si>
  <si>
    <t>Enterprise &amp; Sales Department</t>
  </si>
  <si>
    <t>Work Satisfaction</t>
  </si>
  <si>
    <t xml:space="preserve">Production Line Incharge </t>
  </si>
  <si>
    <t xml:space="preserve">AC Technician   </t>
  </si>
  <si>
    <t>Chhattisgarh</t>
  </si>
  <si>
    <t xml:space="preserve">DET </t>
  </si>
  <si>
    <t>Jharkhand Service Executive</t>
  </si>
  <si>
    <t>IQC Inspector</t>
  </si>
  <si>
    <t>Retail &amp; Sales Department</t>
  </si>
  <si>
    <t>VRV AC Technician</t>
  </si>
  <si>
    <t xml:space="preserve">Production Supervisor   </t>
  </si>
  <si>
    <t>Quality Engineer Trainee</t>
  </si>
  <si>
    <t xml:space="preserve"> Sales,Service &amp; Repair Department</t>
  </si>
  <si>
    <t>CRO Executive</t>
  </si>
  <si>
    <t xml:space="preserve">Production Supervisor </t>
  </si>
  <si>
    <t>Product Management &amp;Technology Department</t>
  </si>
  <si>
    <t>Sales Service &amp; Repair Department</t>
  </si>
  <si>
    <t>SAP SD Consultant Lead</t>
  </si>
  <si>
    <t xml:space="preserve">Quality Engineer </t>
  </si>
  <si>
    <t>Sales,Service &amp; Repair Department</t>
  </si>
  <si>
    <t>SCM Executive</t>
  </si>
  <si>
    <t>Sr. Manager&amp;Customer Service</t>
  </si>
  <si>
    <t>Administration Training and Development Executive</t>
  </si>
  <si>
    <t>VRV Sales and Project Department</t>
  </si>
  <si>
    <t>Deputy Manager &amp; Customer Service</t>
  </si>
  <si>
    <t>R&amp;D Engineer</t>
  </si>
  <si>
    <t>Sr Mechanical Engineer</t>
  </si>
  <si>
    <t>Production Engineering Manager</t>
  </si>
  <si>
    <t>Export Executive</t>
  </si>
  <si>
    <t>MIS Executive And Coordinator</t>
  </si>
  <si>
    <t>Engineer Trainee</t>
  </si>
  <si>
    <t>Product Management &amp; Technology Department</t>
  </si>
  <si>
    <t xml:space="preserve">Senior Executive </t>
  </si>
  <si>
    <t>Coil Brazing Technician</t>
  </si>
  <si>
    <t>Ware House Department</t>
  </si>
  <si>
    <t>DGM Operations</t>
  </si>
  <si>
    <t>Divisional Manager</t>
  </si>
  <si>
    <t xml:space="preserve">Dy.Manager </t>
  </si>
  <si>
    <t xml:space="preserve"> Production &amp; Manufacturing Department</t>
  </si>
  <si>
    <t>Assitant Engineer</t>
  </si>
  <si>
    <t>SAP Service Coordinator</t>
  </si>
  <si>
    <t>Office Assistant</t>
  </si>
  <si>
    <t>Junior Executive In Store</t>
  </si>
  <si>
    <t>Supervisor Department</t>
  </si>
  <si>
    <t>Maintainer</t>
  </si>
  <si>
    <t>HVAC Consultant</t>
  </si>
  <si>
    <t>Engineering Trainee</t>
  </si>
  <si>
    <t>Utility  Department</t>
  </si>
  <si>
    <t>Customer Service Manager</t>
  </si>
  <si>
    <t>Sr Manger</t>
  </si>
  <si>
    <t xml:space="preserve">Project Leader </t>
  </si>
  <si>
    <t xml:space="preserve">Asst Engineer </t>
  </si>
  <si>
    <t>Asst. Manager</t>
  </si>
  <si>
    <t>Design And Development Engineer</t>
  </si>
  <si>
    <t>SAP MM Consultant</t>
  </si>
  <si>
    <t>QC Inspector</t>
  </si>
  <si>
    <t>Machine Learning Scientist</t>
  </si>
  <si>
    <t>warehouse Assistant</t>
  </si>
  <si>
    <t xml:space="preserve"> Manufacturing Department</t>
  </si>
  <si>
    <t>Refrigration &amp; air Conditioner</t>
  </si>
  <si>
    <t>STP Operator</t>
  </si>
  <si>
    <t>Mantainer</t>
  </si>
  <si>
    <t>Business DevelopmentExecutive</t>
  </si>
  <si>
    <t>Business Developer</t>
  </si>
  <si>
    <t xml:space="preserve"> Customer Service Executive</t>
  </si>
  <si>
    <t>SAP Operator</t>
  </si>
  <si>
    <t>IT Department</t>
  </si>
  <si>
    <t>SAP operator Department</t>
  </si>
  <si>
    <t>Assistant Department</t>
  </si>
  <si>
    <t>Sr. Manager</t>
  </si>
  <si>
    <t>Regional Manager</t>
  </si>
  <si>
    <t xml:space="preserve">Branch Operation Head </t>
  </si>
  <si>
    <t>Voice Department</t>
  </si>
  <si>
    <t>ITI Technician</t>
  </si>
  <si>
    <t>Senoir Operator</t>
  </si>
  <si>
    <t>Service Commercial Executive</t>
  </si>
  <si>
    <t>Japanese Interpreter Cum Transilator</t>
  </si>
  <si>
    <t>Maintenance Engineer</t>
  </si>
  <si>
    <t>Manufacturing Department</t>
  </si>
  <si>
    <t>PDS Trainee</t>
  </si>
  <si>
    <t>Refrigration &amp; Air Conditioner</t>
  </si>
  <si>
    <t>R &amp; D Department</t>
  </si>
  <si>
    <t>Office Assistant Department</t>
  </si>
  <si>
    <t>NPD Engineer</t>
  </si>
  <si>
    <t xml:space="preserve"> SCM Executive</t>
  </si>
  <si>
    <t>VRV Business Manager</t>
  </si>
  <si>
    <t xml:space="preserve">Sales &amp; Marketing Sale Promotion Executive </t>
  </si>
  <si>
    <t>ISD Department</t>
  </si>
  <si>
    <t xml:space="preserve">Finance And Compliance Manager </t>
  </si>
  <si>
    <t>QC Department</t>
  </si>
  <si>
    <t>MIG Welder</t>
  </si>
  <si>
    <t>Asst Manager</t>
  </si>
  <si>
    <t xml:space="preserve">Service Engineer  </t>
  </si>
  <si>
    <t xml:space="preserve"> Maharastra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</si>
</sst>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i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19" fillId="33" borderId="0" xfId="0" applyFont="1" applyFill="1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8CE8-8ED4-47EE-83FF-B68A0AC9DF14}">
  <dimension ref="A1:M1008"/>
  <sheetViews>
    <sheetView tabSelected="1" workbookViewId="0">
      <selection activeCell="A4" sqref="A4"/>
    </sheetView>
  </sheetViews>
  <sheetFormatPr defaultRowHeight="14.5"/>
  <cols>
    <col min="1" max="1" width="29.54296875" customWidth="1"/>
    <col min="2" max="2" width="34.08984375" customWidth="1"/>
    <col min="3" max="3" width="20.1796875" customWidth="1"/>
    <col min="4" max="4" width="11.90625" customWidth="1"/>
    <col min="5" max="5" width="39.7265625" customWidth="1"/>
    <col min="6" max="6" width="21" customWidth="1"/>
    <col min="7" max="7" width="11.90625" customWidth="1"/>
    <col min="8" max="8" width="15.81640625" customWidth="1"/>
    <col min="9" max="9" width="15.453125" customWidth="1"/>
    <col min="10" max="10" width="16" customWidth="1"/>
    <col min="11" max="11" width="10.54296875" customWidth="1"/>
    <col min="12" max="12" width="12.6328125" customWidth="1"/>
    <col min="13" max="13" width="14.7265625" customWidth="1"/>
  </cols>
  <sheetData>
    <row r="1" spans="1:13" ht="23" customHeight="1">
      <c r="A1" s="4" t="s">
        <v>513</v>
      </c>
      <c r="B1" s="4" t="s">
        <v>533</v>
      </c>
      <c r="C1" s="4" t="s">
        <v>532</v>
      </c>
      <c r="D1" s="4" t="s">
        <v>506</v>
      </c>
      <c r="E1" s="4" t="s">
        <v>0</v>
      </c>
      <c r="F1" s="5" t="s">
        <v>512</v>
      </c>
      <c r="G1" s="5" t="s">
        <v>507</v>
      </c>
      <c r="H1" s="5" t="s">
        <v>508</v>
      </c>
      <c r="I1" s="5" t="s">
        <v>509</v>
      </c>
      <c r="J1" s="5" t="s">
        <v>510</v>
      </c>
      <c r="K1" s="5" t="s">
        <v>163</v>
      </c>
      <c r="L1" s="5" t="s">
        <v>511</v>
      </c>
      <c r="M1" s="5" t="s">
        <v>620</v>
      </c>
    </row>
    <row r="2" spans="1:13">
      <c r="A2" t="s">
        <v>1</v>
      </c>
      <c r="B2" t="s">
        <v>2</v>
      </c>
      <c r="C2" t="str" cm="1">
        <f t="array" ref="C2">_xlfn.IFS(B2="Neemrana","Rajasthan",B2="Tadepalligudem","Andhra Pradesh",B2="Kolkata","West Bengal",B2="Unknown","Unknown",B2="Andheri East,Chakala","Muumbai",B2="Ahmadnagar","Maharastra",B2="Sri City","Andhra Pradesh")</f>
        <v>Rajasthan</v>
      </c>
      <c r="D2" t="s">
        <v>3</v>
      </c>
      <c r="E2" t="s">
        <v>4</v>
      </c>
      <c r="F2" s="2">
        <v>45147</v>
      </c>
      <c r="G2" s="3">
        <v>5</v>
      </c>
      <c r="H2" s="3">
        <v>3</v>
      </c>
      <c r="I2" s="3">
        <v>5</v>
      </c>
      <c r="J2" s="3">
        <v>3</v>
      </c>
      <c r="K2" s="3">
        <v>4</v>
      </c>
      <c r="L2" s="3">
        <v>5</v>
      </c>
      <c r="M2" s="3">
        <v>3</v>
      </c>
    </row>
    <row r="3" spans="1:13">
      <c r="A3" t="s">
        <v>5</v>
      </c>
      <c r="B3" t="s">
        <v>514</v>
      </c>
      <c r="C3" t="str" cm="1">
        <f t="array" ref="C3">_xlfn.IFS(B3="Neemrana","Rajasthan",B3="Tadepalligudem","Andhra Pradesh",B3="Kolkata","West Bengal",B3="Unknown","Unknown",B3="Andheri East,Chakala","Muumbai",B3="Ahmadnagar","Maharastra",B3="Sri City","Andhra Pradesh")</f>
        <v>Andhra Pradesh</v>
      </c>
      <c r="D3" t="s">
        <v>3</v>
      </c>
      <c r="E3" t="s">
        <v>6</v>
      </c>
      <c r="F3" s="2">
        <v>45147</v>
      </c>
      <c r="G3" s="3">
        <v>1</v>
      </c>
      <c r="H3" s="3">
        <v>1</v>
      </c>
      <c r="I3" s="3">
        <v>3</v>
      </c>
      <c r="J3" s="3">
        <v>1</v>
      </c>
      <c r="K3" s="3">
        <v>1</v>
      </c>
      <c r="L3" s="3">
        <v>3</v>
      </c>
      <c r="M3" s="3">
        <v>1</v>
      </c>
    </row>
    <row r="4" spans="1:13">
      <c r="A4" t="s">
        <v>7</v>
      </c>
      <c r="B4" t="s">
        <v>8</v>
      </c>
      <c r="C4" t="str" cm="1">
        <f t="array" ref="C4">_xlfn.IFS(B4="Neemrana","Rajasthan",B4="Tadepalligudem","Andhra Pradesh",B4="Kolkata","West Bengal",B4="Unknown","Unknown",B4="Andheri East,Chakala","Muumbai",B4="Ahmadnagar","Maharastra",B4="Sri City","Andhra Pradesh")</f>
        <v>West Bengal</v>
      </c>
      <c r="D4" t="s">
        <v>3</v>
      </c>
      <c r="E4" t="s">
        <v>619</v>
      </c>
      <c r="F4" s="2">
        <v>45139</v>
      </c>
      <c r="G4" s="3">
        <v>5</v>
      </c>
      <c r="H4" s="3">
        <v>5</v>
      </c>
      <c r="I4" s="3">
        <v>5</v>
      </c>
      <c r="J4" s="3">
        <v>4</v>
      </c>
      <c r="K4" s="3">
        <v>5</v>
      </c>
      <c r="L4" s="3">
        <v>5</v>
      </c>
      <c r="M4" s="3">
        <v>5</v>
      </c>
    </row>
    <row r="5" spans="1:13">
      <c r="A5" t="s">
        <v>622</v>
      </c>
      <c r="B5" t="s">
        <v>558</v>
      </c>
      <c r="C5" t="str" cm="1">
        <f t="array" ref="C5">_xlfn.IFS(B5="Neemrana","Rajasthan",B5="Tadepalligudem","Andhra Pradesh",B5="Kolkata","West Bengal",B5="Unknown","Unknown",B5="Andheri East,Chakala","Muumbai",B5="Ahmadnagar","Maharastra",B5="Sri City","Andhra Pradesh")</f>
        <v>Unknown</v>
      </c>
      <c r="D5" t="s">
        <v>3</v>
      </c>
      <c r="E5" t="s">
        <v>9</v>
      </c>
      <c r="F5" s="2">
        <v>45143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</row>
    <row r="6" spans="1:13">
      <c r="A6" t="s">
        <v>546</v>
      </c>
      <c r="B6" t="s">
        <v>2</v>
      </c>
      <c r="C6" t="str" cm="1">
        <f t="array" ref="C6">_xlfn.IFS(B6="Neemrana","Rajasthan",B6="Tadepalligudem","Andhra Pradesh",B6="Kolkata","West Bengal",B6="Unknown","Unknown",B6="Andheri East,Chakala","Muumbai",B6="Ahmadnagar","Maharastra",B6="Sri City","Andhra Pradesh")</f>
        <v>Rajasthan</v>
      </c>
      <c r="D6" t="s">
        <v>3</v>
      </c>
      <c r="E6" t="s">
        <v>10</v>
      </c>
      <c r="F6" s="2">
        <v>45174</v>
      </c>
      <c r="G6" s="3">
        <v>4</v>
      </c>
      <c r="H6" s="3">
        <v>4</v>
      </c>
      <c r="I6" s="3">
        <v>3</v>
      </c>
      <c r="J6" s="3">
        <v>4</v>
      </c>
      <c r="K6" s="3">
        <v>5</v>
      </c>
      <c r="L6" s="3">
        <v>4</v>
      </c>
      <c r="M6" s="3">
        <v>3</v>
      </c>
    </row>
    <row r="7" spans="1:13">
      <c r="A7" t="s">
        <v>11</v>
      </c>
      <c r="B7" t="s">
        <v>2</v>
      </c>
      <c r="C7" t="str" cm="1">
        <f t="array" ref="C7">_xlfn.IFS(B7="Neemrana","Rajasthan",B7="Tadepalligudem","Andhra Pradesh",B7="Kolkata","West Bengal",B7="Unknown","Unknown",B7="Andheri East,Chakala","Muumbai",B7="Ahmadnagar","Maharastra",B7="Sri City","Andhra Pradesh")</f>
        <v>Rajasthan</v>
      </c>
      <c r="D7" t="s">
        <v>3</v>
      </c>
      <c r="E7" t="s">
        <v>12</v>
      </c>
      <c r="F7" s="2">
        <v>45112</v>
      </c>
      <c r="G7" s="3">
        <v>3</v>
      </c>
      <c r="H7" s="3">
        <v>3</v>
      </c>
      <c r="I7" s="3">
        <v>3</v>
      </c>
      <c r="J7" s="3">
        <v>2</v>
      </c>
      <c r="K7" s="3">
        <v>5</v>
      </c>
      <c r="L7" s="3">
        <v>3</v>
      </c>
      <c r="M7" s="3">
        <v>2</v>
      </c>
    </row>
    <row r="8" spans="1:13">
      <c r="A8" t="s">
        <v>13</v>
      </c>
      <c r="B8" t="s">
        <v>559</v>
      </c>
      <c r="C8" t="str" cm="1">
        <f t="array" ref="C8">_xlfn.IFS(B8="Neemrana","Rajasthan",B8="Tadepalligudem","Andhra Pradesh",B8="Kolkata","West Bengal",B8="Unknown","Unknown",B8="Andheri East,Chakala","Mumbai",B8="Ahmadnagar","Maharastra",B8="Sri City","Andhra Pradesh")</f>
        <v>Mumbai</v>
      </c>
      <c r="D8" t="s">
        <v>3</v>
      </c>
      <c r="E8" t="s">
        <v>627</v>
      </c>
      <c r="F8" s="2">
        <v>45112</v>
      </c>
      <c r="G8" s="3">
        <v>5</v>
      </c>
      <c r="H8" s="3">
        <v>5</v>
      </c>
      <c r="I8" s="3">
        <v>4</v>
      </c>
      <c r="J8" s="3">
        <v>3</v>
      </c>
      <c r="K8" s="3">
        <v>5</v>
      </c>
      <c r="L8" s="3">
        <v>5</v>
      </c>
      <c r="M8" s="3">
        <v>3</v>
      </c>
    </row>
    <row r="9" spans="1:13">
      <c r="A9" t="s">
        <v>7</v>
      </c>
      <c r="B9" t="s">
        <v>515</v>
      </c>
      <c r="C9" t="str" cm="1">
        <f t="array" ref="C9">_xlfn.IFS(B9="Neemrana","Rajasthan",B9="Tadepalligudem","Andhra Pradesh",B9="Kolkata","West Bengal",B9="Unknown","Unknown",B9="Andheri East,Chakala","Mumbai",B9="Ahmadnagar","Maharastra",B9="Sri City","Andhra Pradesh")</f>
        <v>Maharastra</v>
      </c>
      <c r="D9" t="s">
        <v>3</v>
      </c>
      <c r="E9" t="s">
        <v>14</v>
      </c>
      <c r="F9" s="2">
        <v>45086</v>
      </c>
      <c r="G9" s="3">
        <v>3</v>
      </c>
      <c r="H9" s="3">
        <v>4</v>
      </c>
      <c r="I9" s="3">
        <v>3</v>
      </c>
      <c r="J9" s="3">
        <v>2</v>
      </c>
      <c r="K9" s="3">
        <v>4</v>
      </c>
      <c r="L9" s="3">
        <v>3</v>
      </c>
      <c r="M9" s="3">
        <v>2</v>
      </c>
    </row>
    <row r="10" spans="1:13">
      <c r="A10" t="s">
        <v>557</v>
      </c>
      <c r="B10" t="s">
        <v>2</v>
      </c>
      <c r="C10" t="str" cm="1">
        <f t="array" ref="C10">_xlfn.IFS(B10="Neemrana","Rajasthan",B10="Tadepalligudem","Andhra Pradesh",B10="Kolkata","West Bengal",B10="Unknown","Unknown",B10="Andheri East,Chakala","Muumbai",B10="Ahmadnagar","Maharastra",B10="Sri City","Andhra Pradesh")</f>
        <v>Rajasthan</v>
      </c>
      <c r="D10" t="s">
        <v>3</v>
      </c>
      <c r="E10" t="s">
        <v>15</v>
      </c>
      <c r="F10" s="2">
        <v>45141</v>
      </c>
      <c r="G10" s="3">
        <v>3</v>
      </c>
      <c r="H10" s="3">
        <v>4</v>
      </c>
      <c r="I10" s="3">
        <v>3</v>
      </c>
      <c r="J10" s="3">
        <v>3</v>
      </c>
      <c r="K10" s="3">
        <v>4</v>
      </c>
      <c r="L10" s="3">
        <v>2</v>
      </c>
      <c r="M10" s="3">
        <v>3</v>
      </c>
    </row>
    <row r="11" spans="1:13">
      <c r="A11" t="s">
        <v>16</v>
      </c>
      <c r="B11" t="s">
        <v>132</v>
      </c>
      <c r="C11" t="str" cm="1">
        <f t="array" ref="C11">_xlfn.IFS(B11="Neemrana","Rajasthan",B11="Tadepalligudem","Andhra Pradesh",B11="Kolkata","West Bengal",B11="Unknown","Unknown",B11="Andheri East,Chakala","Mumbai",B11="Ahmadnagar","Maharastra",B11="Sri City","Andhra Pradesh",B11="Gurgaon","Haryana",B11="Ahmedbad","Gujarat",B11="Jaipur","Rajasthan",B11="Chennai","Tamil Nadu")</f>
        <v>Andhra Pradesh</v>
      </c>
      <c r="D11" t="s">
        <v>3</v>
      </c>
      <c r="E11" t="s">
        <v>17</v>
      </c>
      <c r="F11" s="2">
        <v>45108</v>
      </c>
      <c r="G11" s="3">
        <v>3</v>
      </c>
      <c r="H11" s="3">
        <v>1</v>
      </c>
      <c r="I11" s="3">
        <v>1</v>
      </c>
      <c r="J11" s="3">
        <v>2</v>
      </c>
      <c r="K11" s="3">
        <v>4</v>
      </c>
      <c r="L11" s="3">
        <v>3</v>
      </c>
      <c r="M11" s="3">
        <v>3</v>
      </c>
    </row>
    <row r="12" spans="1:13">
      <c r="A12" t="s">
        <v>18</v>
      </c>
      <c r="B12" t="s">
        <v>243</v>
      </c>
      <c r="C12" t="str" cm="1">
        <f t="array" ref="C12">_xlfn.IFS(B12="Neemrana","Rajasthan",B12="Tadepalligudem","Andhra Pradesh",B12="Kolkata","West Bengal",B12="Unknown","Unknown",B12="Andheri East,Chakala","Mumbai",B12="Ahmadnagar","Maharastra",B12="Sri City","Andhra Pradesh",B12="Gurgaon","Haryana",B12="Ahmedbad","Gujarat",B12="Jaipur","Rajasthan",B12="Chennai","Tamil Nadu")</f>
        <v>Haryana</v>
      </c>
      <c r="D12" t="s">
        <v>55</v>
      </c>
      <c r="E12" t="s">
        <v>15</v>
      </c>
      <c r="F12" s="2">
        <v>45108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</row>
    <row r="13" spans="1:13">
      <c r="A13" t="s">
        <v>19</v>
      </c>
      <c r="B13" t="s">
        <v>2</v>
      </c>
      <c r="C13" t="str" cm="1">
        <f t="array" ref="C13">_xlfn.IFS(B13="Neemrana","Rajasthan",B13="Tadepalligudem","Andhra Pradesh",B13="Kolkata","West Bengal",B13="Unknown","Unknown",B13="Andheri East,Chakala","Mumbai",B13="Ahmadnagar","Maharastra",B13="Sri City","Andhra Pradesh",B13="Gurgaon","Haryana",B13="Ahmedbad","Gujarat",B13="Jaipur","Rajasthan",B13="Chennai","Tamil Nadu")</f>
        <v>Rajasthan</v>
      </c>
      <c r="D13" t="s">
        <v>3</v>
      </c>
      <c r="E13" t="s">
        <v>20</v>
      </c>
      <c r="F13" s="2">
        <v>45175</v>
      </c>
      <c r="G13" s="3">
        <v>4</v>
      </c>
      <c r="H13" s="3">
        <v>4</v>
      </c>
      <c r="I13" s="3">
        <v>3</v>
      </c>
      <c r="J13" s="3">
        <v>3</v>
      </c>
      <c r="K13" s="3">
        <v>5</v>
      </c>
      <c r="L13" s="3">
        <v>4</v>
      </c>
      <c r="M13" s="3">
        <v>3</v>
      </c>
    </row>
    <row r="14" spans="1:13">
      <c r="A14" t="s">
        <v>21</v>
      </c>
      <c r="B14" t="s">
        <v>132</v>
      </c>
      <c r="C14" t="str" cm="1">
        <f t="array" ref="C14">_xlfn.IFS(B14="Neemrana","Rajasthan",B14="Tadepalligudem","Andhra Pradesh",B14="Kolkata","West Bengal",B14="Unknown","Unknown",B14="Andheri East,Chakala","Mumbai",B14="Ahmadnagar","Maharastra",B14="Sri City","Andhra Pradesh",B14="Gurgaon","Haryana",B14="Ahmedbad","Gujarat",B14="Jaipur","Rajasthan",B14="Chennai","Tamil Nadu")</f>
        <v>Andhra Pradesh</v>
      </c>
      <c r="D14" t="s">
        <v>3</v>
      </c>
      <c r="E14" t="s">
        <v>20</v>
      </c>
      <c r="F14" s="2">
        <v>45173</v>
      </c>
      <c r="G14" s="3">
        <v>3</v>
      </c>
      <c r="H14" s="3">
        <v>3</v>
      </c>
      <c r="I14" s="3">
        <v>5</v>
      </c>
      <c r="J14" s="3">
        <v>2</v>
      </c>
      <c r="K14" s="3">
        <v>5</v>
      </c>
      <c r="L14" s="3">
        <v>5</v>
      </c>
      <c r="M14" s="3">
        <v>2</v>
      </c>
    </row>
    <row r="15" spans="1:13">
      <c r="A15" t="s">
        <v>621</v>
      </c>
      <c r="B15" t="s">
        <v>2</v>
      </c>
      <c r="C15" t="str" cm="1">
        <f t="array" ref="C15">_xlfn.IFS(B15="Neemrana","Rajasthan",B15="Tadepalligudem","Andhra Pradesh",B15="Kolkata","West Bengal",B15="Unknown","Unknown",B15="Andheri East,Chakala","Mumbai",B15="Ahmadnagar","Maharastra",B15="Sri City","Andhra Pradesh",B15="Gurgaon","Haryana",B15="Ahmedbad","Gujarat",B15="Jaipur","Rajasthan",B15="Chennai","Tamil Nadu")</f>
        <v>Rajasthan</v>
      </c>
      <c r="D15" t="s">
        <v>3</v>
      </c>
      <c r="E15" t="s">
        <v>22</v>
      </c>
      <c r="F15" s="2">
        <v>45171</v>
      </c>
      <c r="G15" s="3">
        <v>4</v>
      </c>
      <c r="H15" s="3">
        <v>4</v>
      </c>
      <c r="I15" s="3">
        <v>4</v>
      </c>
      <c r="J15" s="3">
        <v>3</v>
      </c>
      <c r="K15" s="3">
        <v>5</v>
      </c>
      <c r="L15" s="3">
        <v>4</v>
      </c>
      <c r="M15" s="3">
        <v>3</v>
      </c>
    </row>
    <row r="16" spans="1:13">
      <c r="A16" t="s">
        <v>1</v>
      </c>
      <c r="B16" t="s">
        <v>132</v>
      </c>
      <c r="C16" t="str" cm="1">
        <f t="array" ref="C16">_xlfn.IFS(B16="Neemrana","Rajasthan",B16="Tadepalligudem","Andhra Pradesh",B16="Kolkata","West Bengal",B16="Unknown","Unknown",B16="Andheri East,Chakala","Mumbai",B16="Ahmadnagar","Maharastra",B16="Sri City","Andhra Pradesh",B16="Gurgaon","Haryana",B16="Ahmedbad","Gujarat",B16="Jaipur","Rajasthan",B16="Chennai","Tamil Nadu")</f>
        <v>Andhra Pradesh</v>
      </c>
      <c r="D16" t="s">
        <v>3</v>
      </c>
      <c r="E16" t="s">
        <v>23</v>
      </c>
      <c r="F16" s="2">
        <v>45171</v>
      </c>
      <c r="G16" s="3">
        <v>5</v>
      </c>
      <c r="H16" s="3">
        <v>5</v>
      </c>
      <c r="I16" s="3">
        <v>4</v>
      </c>
      <c r="J16" s="3">
        <v>4</v>
      </c>
      <c r="K16" s="3">
        <v>5</v>
      </c>
      <c r="L16" s="3">
        <v>4</v>
      </c>
      <c r="M16" s="3">
        <v>3</v>
      </c>
    </row>
    <row r="17" spans="1:13">
      <c r="A17" t="s">
        <v>24</v>
      </c>
      <c r="B17" t="s">
        <v>39</v>
      </c>
      <c r="C17" t="str" cm="1">
        <f t="array" ref="C17">_xlfn.IFS(B17="Neemrana","Rajasthan",B17="Tadepalligudem","Andhra Pradesh",B17="Kolkata","West Bengal",B17="Unknown","Unknown",B17="Andheri East,Chakala","Mumbai",B17="Ahmadnagar","Maharastra",B17="Sri City","Andhra Pradesh",B17="Gurgaon","Haryana",B17="Ahmedabad","Gujarat",B17="Jaipur","Rajasthan",B17="Chennai","Tamil Nadu")</f>
        <v>Gujarat</v>
      </c>
      <c r="D17" t="s">
        <v>3</v>
      </c>
      <c r="E17" t="s">
        <v>25</v>
      </c>
      <c r="F17" s="2">
        <v>45170</v>
      </c>
      <c r="G17" s="3">
        <v>5</v>
      </c>
      <c r="H17" s="3">
        <v>5</v>
      </c>
      <c r="I17" s="3">
        <v>5</v>
      </c>
      <c r="J17" s="3">
        <v>5</v>
      </c>
      <c r="K17" s="3">
        <v>5</v>
      </c>
      <c r="L17" s="3">
        <v>5</v>
      </c>
      <c r="M17" s="3">
        <v>4</v>
      </c>
    </row>
    <row r="18" spans="1:13">
      <c r="A18" t="s">
        <v>628</v>
      </c>
      <c r="B18" t="s">
        <v>213</v>
      </c>
      <c r="C18" t="str" cm="1">
        <f t="array" ref="C18">_xlfn.IFS(B18="Neemrana","Rajasthan",B18="Tadepalligudem","Andhra Pradesh",B18="Kolkata","West Bengal",B18="Unknown","Unknown",B18="Andheri East,Chakala","Mumbai",B18="Ahmadnagar","Maharastra",B18="Sri City","Andhra Pradesh",B18="Gurgaon","Haryana",B18="Ahmedabad","Gujarat",B18="Jaipur","Rajasthan",B18="Chennai","Tamil Nadu")</f>
        <v>Rajasthan</v>
      </c>
      <c r="D18" t="s">
        <v>3</v>
      </c>
      <c r="E18" t="s">
        <v>619</v>
      </c>
      <c r="F18" s="2">
        <v>45170</v>
      </c>
      <c r="G18" s="3">
        <v>3</v>
      </c>
      <c r="H18" s="3">
        <v>2</v>
      </c>
      <c r="I18" s="3">
        <v>4</v>
      </c>
      <c r="J18" s="3">
        <v>2</v>
      </c>
      <c r="K18" s="3">
        <v>4</v>
      </c>
      <c r="L18" s="3">
        <v>2</v>
      </c>
      <c r="M18" s="3">
        <v>2</v>
      </c>
    </row>
    <row r="19" spans="1:13">
      <c r="A19" t="s">
        <v>35</v>
      </c>
      <c r="B19" t="s">
        <v>2</v>
      </c>
      <c r="C19" t="str" cm="1">
        <f t="array" ref="C19">_xlfn.IFS(B19="Neemrana","Rajasthan",B19="Tadepalligudem","Andhra Pradesh",B19="Kolkata","West Bengal",B19="Unknown","Unknown",B19="Andheri East,Chakala","Mumbai",B19="Ahmadnagar","Maharastra",B19="Sri City","Andhra Pradesh",B19="Gurgaon","Haryana",B19="Ahmedabad","Gujarat",B19="Jaipur","Rajasthan",B19="Chennai","Tamil Nadu")</f>
        <v>Rajasthan</v>
      </c>
      <c r="D19" t="s">
        <v>3</v>
      </c>
      <c r="E19" t="s">
        <v>26</v>
      </c>
      <c r="F19" s="2">
        <v>45170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</row>
    <row r="20" spans="1:13">
      <c r="A20" t="s">
        <v>27</v>
      </c>
      <c r="B20" t="s">
        <v>2</v>
      </c>
      <c r="C20" t="str" cm="1">
        <f t="array" ref="C20">_xlfn.IFS(B20="Neemrana","Rajasthan",B20="Tadepalligudem","Andhra Pradesh",B20="Kolkata","West Bengal",B20="Unknown","Unknown",B20="Andheri East,Chakala","Mumbai",B20="Ahmadnagar","Maharastra",B20="Sri City","Andhra Pradesh",B20="Gurgaon","Haryana",B20="Ahmedabad","Gujarat",B20="Jaipur","Rajasthan",B20="Chennai","Tamil Nadu")</f>
        <v>Rajasthan</v>
      </c>
      <c r="D20" t="s">
        <v>3</v>
      </c>
      <c r="E20" t="s">
        <v>12</v>
      </c>
      <c r="F20" s="2">
        <v>45175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>
        <v>4</v>
      </c>
    </row>
    <row r="21" spans="1:13">
      <c r="A21" t="s">
        <v>557</v>
      </c>
      <c r="B21" t="s">
        <v>558</v>
      </c>
      <c r="C21" t="str" cm="1">
        <f t="array" ref="C21">_xlfn.IFS(B21="Neemrana","Rajasthan",B21="Tadepalligudem","Andhra Pradesh",B21="Kolkata","West Bengal",B21="Unknown","Unknown",B21="Andheri East,Chakala","Mumbai",B21="Ahmadnagar","Maharastra",B21="Sri City","Andhra Pradesh",B21="Gurgaon","Haryana",B21="Ahmedabad","Gujarat",B21="Jaipur","Rajasthan",B21="Chennai","Tamil Nadu")</f>
        <v>Unknown</v>
      </c>
      <c r="D21" t="s">
        <v>3</v>
      </c>
      <c r="E21" t="s">
        <v>26</v>
      </c>
      <c r="F21" s="2">
        <v>45171</v>
      </c>
      <c r="G21" s="3">
        <v>4</v>
      </c>
      <c r="H21" s="3">
        <v>4</v>
      </c>
      <c r="I21" s="3">
        <v>3</v>
      </c>
      <c r="J21" s="3">
        <v>4</v>
      </c>
      <c r="K21" s="3">
        <v>4</v>
      </c>
      <c r="L21" s="3">
        <v>5</v>
      </c>
      <c r="M21" s="3">
        <v>5</v>
      </c>
    </row>
    <row r="22" spans="1:13">
      <c r="A22" t="s">
        <v>28</v>
      </c>
      <c r="B22" t="s">
        <v>2</v>
      </c>
      <c r="C22" t="str" cm="1">
        <f t="array" ref="C22">_xlfn.IFS(B22="Neemrana","Rajasthan",B22="Tadepalligudem","Andhra Pradesh",B22="Kolkata","West Bengal",B22="Unknown","Unknown",B22="Andheri East,Chakala","Mumbai",B22="Ahmadnagar","Maharastra",B22="Sri City","Andhra Pradesh",B22="Gurgaon","Haryana",B22="Ahmedabad","Gujarat",B22="Jaipur","Rajasthan",B22="Chennai","Tamil Nadu")</f>
        <v>Rajasthan</v>
      </c>
      <c r="D22" t="s">
        <v>3</v>
      </c>
      <c r="E22" t="s">
        <v>15</v>
      </c>
      <c r="F22" s="2">
        <v>45139</v>
      </c>
      <c r="G22" s="3">
        <v>2</v>
      </c>
      <c r="H22" s="3">
        <v>3</v>
      </c>
      <c r="I22" s="3">
        <v>2</v>
      </c>
      <c r="J22" s="3">
        <v>2</v>
      </c>
      <c r="K22" s="3">
        <v>4</v>
      </c>
      <c r="L22" s="3">
        <v>1</v>
      </c>
      <c r="M22" s="3">
        <v>2</v>
      </c>
    </row>
    <row r="23" spans="1:13">
      <c r="A23" t="s">
        <v>29</v>
      </c>
      <c r="B23" t="s">
        <v>2</v>
      </c>
      <c r="C23" t="str" cm="1">
        <f t="array" ref="C23">_xlfn.IFS(B23="Neemrana","Rajasthan",B23="Tadepalligudem","Andhra Pradesh",B23="Kolkata","West Bengal",B23="Unknown","Unknown",B23="Andheri East,Chakala","Mumbai",B23="Ahmadnagar","Maharastra",B23="Sri City","Andhra Pradesh",B23="Gurgaon","Haryana",B23="Ahmedabad","Gujarat",B23="Jaipur","Rajasthan",B23="Chennai","Tamil Nadu")</f>
        <v>Rajasthan</v>
      </c>
      <c r="D23" t="s">
        <v>3</v>
      </c>
      <c r="E23" t="s">
        <v>26</v>
      </c>
      <c r="F23" s="2">
        <v>45147</v>
      </c>
      <c r="G23" s="3">
        <v>5</v>
      </c>
      <c r="H23" s="3">
        <v>5</v>
      </c>
      <c r="I23" s="3">
        <v>5</v>
      </c>
      <c r="J23" s="3">
        <v>4</v>
      </c>
      <c r="K23" s="3">
        <v>5</v>
      </c>
      <c r="L23" s="3">
        <v>5</v>
      </c>
      <c r="M23" s="3">
        <v>4</v>
      </c>
    </row>
    <row r="24" spans="1:13">
      <c r="A24" t="s">
        <v>30</v>
      </c>
      <c r="B24" t="s">
        <v>2</v>
      </c>
      <c r="C24" t="str" cm="1">
        <f t="array" ref="C24">_xlfn.IFS(B24="Neemrana","Rajasthan",B24="Tadepalligudem","Andhra Pradesh",B24="Kolkata","West Bengal",B24="Unknown","Unknown",B24="Andheri East,Chakala","Mumbai",B24="Ahmadnagar","Maharastra",B24="Sri City","Andhra Pradesh",B24="Gurgaon","Haryana",B24="Ahmedabad","Gujarat",B24="Jaipur","Rajasthan",B24="Chennai","Tamil Nadu")</f>
        <v>Rajasthan</v>
      </c>
      <c r="D24" t="s">
        <v>3</v>
      </c>
      <c r="E24" t="s">
        <v>26</v>
      </c>
      <c r="F24" s="2">
        <v>45147</v>
      </c>
      <c r="G24" s="3">
        <v>5</v>
      </c>
      <c r="H24" s="3">
        <v>4</v>
      </c>
      <c r="I24" s="3">
        <v>5</v>
      </c>
      <c r="J24" s="3">
        <v>3</v>
      </c>
      <c r="K24" s="3">
        <v>5</v>
      </c>
      <c r="L24" s="3">
        <v>5</v>
      </c>
      <c r="M24" s="3">
        <v>3</v>
      </c>
    </row>
    <row r="25" spans="1:13">
      <c r="A25" t="s">
        <v>31</v>
      </c>
      <c r="B25" t="s">
        <v>32</v>
      </c>
      <c r="C25" t="str" cm="1">
        <f t="array" ref="C25">_xlfn.IFS(B25="Neemrana","Rajasthan",B25="Tadepalligudem","Andhra Pradesh",B25="Kolkata","West Bengal",B25="Unknown","Unknown",B25="Andheri East,Chakala","Mumbai",B25="Ahmadnagar","Maharastra",B25="Sri City","Andhra Pradesh",B25="Gurgaon","Haryana",B25="Ahmedabad","Gujarat",B25="Jaipur","Rajasthan",B25="Chennai","Tamil Nadu")</f>
        <v>Tamil Nadu</v>
      </c>
      <c r="D25" t="s">
        <v>3</v>
      </c>
      <c r="E25" t="s">
        <v>26</v>
      </c>
      <c r="F25" s="2">
        <v>45144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</row>
    <row r="26" spans="1:13">
      <c r="A26" t="s">
        <v>33</v>
      </c>
      <c r="B26" t="s">
        <v>82</v>
      </c>
      <c r="C26" t="s">
        <v>566</v>
      </c>
      <c r="D26" t="s">
        <v>3</v>
      </c>
      <c r="E26" t="s">
        <v>34</v>
      </c>
      <c r="F26" s="2">
        <v>45144</v>
      </c>
      <c r="G26" s="3">
        <v>4</v>
      </c>
      <c r="H26" s="3">
        <v>3</v>
      </c>
      <c r="I26" s="3">
        <v>5</v>
      </c>
      <c r="J26" s="3">
        <v>2</v>
      </c>
      <c r="K26" s="3">
        <v>3</v>
      </c>
      <c r="L26" s="3">
        <v>3</v>
      </c>
      <c r="M26" s="3">
        <v>2</v>
      </c>
    </row>
    <row r="27" spans="1:13">
      <c r="A27" t="s">
        <v>629</v>
      </c>
      <c r="B27" t="s">
        <v>558</v>
      </c>
      <c r="C27" t="s">
        <v>558</v>
      </c>
      <c r="D27" t="s">
        <v>3</v>
      </c>
      <c r="E27" t="s">
        <v>4</v>
      </c>
      <c r="F27" s="2">
        <v>45145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5</v>
      </c>
      <c r="M27" s="3">
        <v>5</v>
      </c>
    </row>
    <row r="28" spans="1:13">
      <c r="A28" t="s">
        <v>30</v>
      </c>
      <c r="B28" t="s">
        <v>2</v>
      </c>
      <c r="C28" t="s">
        <v>198</v>
      </c>
      <c r="D28" t="s">
        <v>3</v>
      </c>
      <c r="E28" t="s">
        <v>26</v>
      </c>
      <c r="F28" s="2">
        <v>45147</v>
      </c>
      <c r="G28" s="3">
        <v>4</v>
      </c>
      <c r="H28" s="3">
        <v>5</v>
      </c>
      <c r="I28" s="3">
        <v>3</v>
      </c>
      <c r="J28" s="3">
        <v>3</v>
      </c>
      <c r="K28" s="3">
        <v>4</v>
      </c>
      <c r="L28" s="3">
        <v>4</v>
      </c>
      <c r="M28" s="3">
        <v>3</v>
      </c>
    </row>
    <row r="29" spans="1:13">
      <c r="A29" t="s">
        <v>35</v>
      </c>
      <c r="B29" t="s">
        <v>32</v>
      </c>
      <c r="C29" t="s">
        <v>567</v>
      </c>
      <c r="D29" t="s">
        <v>3</v>
      </c>
      <c r="E29" t="s">
        <v>26</v>
      </c>
      <c r="F29" s="2">
        <v>45146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</row>
    <row r="30" spans="1:13">
      <c r="A30" t="s">
        <v>36</v>
      </c>
      <c r="B30" t="s">
        <v>2</v>
      </c>
      <c r="C30" t="s">
        <v>198</v>
      </c>
      <c r="D30" t="s">
        <v>3</v>
      </c>
      <c r="E30" t="s">
        <v>10</v>
      </c>
      <c r="F30" s="2">
        <v>45146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</row>
    <row r="31" spans="1:13">
      <c r="A31" t="s">
        <v>37</v>
      </c>
      <c r="B31" t="s">
        <v>2</v>
      </c>
      <c r="C31" t="s">
        <v>198</v>
      </c>
      <c r="D31" t="s">
        <v>3</v>
      </c>
      <c r="E31" t="s">
        <v>15</v>
      </c>
      <c r="F31" s="2">
        <v>45139</v>
      </c>
      <c r="G31" s="3">
        <v>5</v>
      </c>
      <c r="H31" s="3">
        <v>4</v>
      </c>
      <c r="I31" s="3">
        <v>4</v>
      </c>
      <c r="J31" s="3">
        <v>5</v>
      </c>
      <c r="K31" s="3">
        <v>5</v>
      </c>
      <c r="L31" s="3">
        <v>4</v>
      </c>
      <c r="M31" s="3">
        <v>5</v>
      </c>
    </row>
    <row r="32" spans="1:13">
      <c r="A32" t="s">
        <v>1</v>
      </c>
      <c r="B32" t="s">
        <v>2</v>
      </c>
      <c r="C32" t="s">
        <v>198</v>
      </c>
      <c r="D32" t="s">
        <v>3</v>
      </c>
      <c r="E32" t="s">
        <v>20</v>
      </c>
      <c r="F32" s="2">
        <v>45142</v>
      </c>
      <c r="G32" s="3">
        <v>4</v>
      </c>
      <c r="H32" s="3">
        <v>5</v>
      </c>
      <c r="I32" s="3">
        <v>3</v>
      </c>
      <c r="J32" s="3">
        <v>3</v>
      </c>
      <c r="K32" s="3">
        <v>5</v>
      </c>
      <c r="L32" s="3">
        <v>5</v>
      </c>
      <c r="M32" s="3">
        <v>2</v>
      </c>
    </row>
    <row r="33" spans="1:13">
      <c r="A33" t="s">
        <v>35</v>
      </c>
      <c r="B33" t="s">
        <v>2</v>
      </c>
      <c r="C33" t="s">
        <v>198</v>
      </c>
      <c r="D33" t="s">
        <v>3</v>
      </c>
      <c r="E33" t="s">
        <v>4</v>
      </c>
      <c r="F33" s="2">
        <v>45139</v>
      </c>
      <c r="G33" s="3">
        <v>3</v>
      </c>
      <c r="H33" s="3">
        <v>3</v>
      </c>
      <c r="I33" s="3">
        <v>3</v>
      </c>
      <c r="J33" s="3">
        <v>2</v>
      </c>
      <c r="K33" s="3">
        <v>4</v>
      </c>
      <c r="L33" s="3">
        <v>3</v>
      </c>
      <c r="M33" s="3">
        <v>2</v>
      </c>
    </row>
    <row r="34" spans="1:13">
      <c r="A34" t="s">
        <v>630</v>
      </c>
      <c r="B34" t="s">
        <v>2</v>
      </c>
      <c r="C34" t="s">
        <v>198</v>
      </c>
      <c r="D34" t="s">
        <v>3</v>
      </c>
      <c r="E34" t="s">
        <v>12</v>
      </c>
      <c r="F34" s="2">
        <v>45139</v>
      </c>
      <c r="G34" s="3">
        <v>5</v>
      </c>
      <c r="H34" s="3">
        <v>4</v>
      </c>
      <c r="I34" s="3">
        <v>5</v>
      </c>
      <c r="J34" s="3">
        <v>4</v>
      </c>
      <c r="K34" s="3">
        <v>5</v>
      </c>
      <c r="L34" s="3">
        <v>4</v>
      </c>
      <c r="M34" s="3">
        <v>3</v>
      </c>
    </row>
    <row r="35" spans="1:13">
      <c r="A35" t="s">
        <v>38</v>
      </c>
      <c r="B35" t="s">
        <v>39</v>
      </c>
      <c r="C35" t="str" cm="1">
        <f t="array" ref="C35">_xlfn.IFS(B35="Surat","Gujarat",B35="Neemrana","Rajasthan",B35="Chennai","Tamil Nadu",B35="Siri City","Andhra Pradesh",B35="Pune","Maharastra",B35="Ahmedabad","Gujarat")</f>
        <v>Gujarat</v>
      </c>
      <c r="D35" t="s">
        <v>3</v>
      </c>
      <c r="E35" t="s">
        <v>34</v>
      </c>
      <c r="F35" s="2">
        <v>45146</v>
      </c>
      <c r="G35" s="3">
        <v>4</v>
      </c>
      <c r="H35" s="3">
        <v>4</v>
      </c>
      <c r="I35" s="3">
        <v>5</v>
      </c>
      <c r="J35" s="3">
        <v>4</v>
      </c>
      <c r="K35" s="3">
        <v>5</v>
      </c>
      <c r="L35" s="3">
        <v>3</v>
      </c>
      <c r="M35" s="3">
        <v>3</v>
      </c>
    </row>
    <row r="36" spans="1:13">
      <c r="A36" t="s">
        <v>40</v>
      </c>
      <c r="B36" t="s">
        <v>558</v>
      </c>
      <c r="C36" t="s">
        <v>558</v>
      </c>
      <c r="D36" t="s">
        <v>3</v>
      </c>
      <c r="E36" t="s">
        <v>631</v>
      </c>
      <c r="F36" s="2">
        <v>45146</v>
      </c>
      <c r="G36" s="3">
        <v>3</v>
      </c>
      <c r="H36" s="3">
        <v>2</v>
      </c>
      <c r="I36" s="3">
        <v>3</v>
      </c>
      <c r="J36" s="3">
        <v>2</v>
      </c>
      <c r="K36" s="3">
        <v>3</v>
      </c>
      <c r="L36" s="3">
        <v>5</v>
      </c>
      <c r="M36" s="3">
        <v>2</v>
      </c>
    </row>
    <row r="37" spans="1:13">
      <c r="A37" t="s">
        <v>31</v>
      </c>
      <c r="B37" t="s">
        <v>2</v>
      </c>
      <c r="C37" t="s">
        <v>198</v>
      </c>
      <c r="D37" t="s">
        <v>3</v>
      </c>
      <c r="E37" t="s">
        <v>23</v>
      </c>
      <c r="F37" s="2">
        <v>45144</v>
      </c>
      <c r="G37" s="3">
        <v>5</v>
      </c>
      <c r="H37" s="3">
        <v>4</v>
      </c>
      <c r="I37" s="3">
        <v>5</v>
      </c>
      <c r="J37" s="3">
        <v>4</v>
      </c>
      <c r="K37" s="3">
        <v>5</v>
      </c>
      <c r="L37" s="3">
        <v>5</v>
      </c>
      <c r="M37" s="3">
        <v>3</v>
      </c>
    </row>
    <row r="38" spans="1:13">
      <c r="A38" t="s">
        <v>41</v>
      </c>
      <c r="B38" t="s">
        <v>2</v>
      </c>
      <c r="C38" t="s">
        <v>198</v>
      </c>
      <c r="D38" t="s">
        <v>3</v>
      </c>
      <c r="E38" t="s">
        <v>20</v>
      </c>
      <c r="F38" s="2">
        <v>45142</v>
      </c>
      <c r="G38" s="3">
        <v>5</v>
      </c>
      <c r="H38" s="3">
        <v>5</v>
      </c>
      <c r="I38" s="3">
        <v>5</v>
      </c>
      <c r="J38" s="3">
        <v>5</v>
      </c>
      <c r="K38" s="3">
        <v>5</v>
      </c>
      <c r="L38" s="3">
        <v>5</v>
      </c>
      <c r="M38" s="3">
        <v>5</v>
      </c>
    </row>
    <row r="39" spans="1:13">
      <c r="A39" t="s">
        <v>30</v>
      </c>
      <c r="B39" t="s">
        <v>517</v>
      </c>
      <c r="C39" t="s">
        <v>567</v>
      </c>
      <c r="D39" t="s">
        <v>3</v>
      </c>
      <c r="E39" t="s">
        <v>26</v>
      </c>
      <c r="F39" s="2">
        <v>45145</v>
      </c>
      <c r="G39" s="3">
        <v>4</v>
      </c>
      <c r="H39" s="3">
        <v>5</v>
      </c>
      <c r="I39" s="3">
        <v>4</v>
      </c>
      <c r="J39" s="3">
        <v>4</v>
      </c>
      <c r="K39" s="3">
        <v>5</v>
      </c>
      <c r="L39" s="3">
        <v>4</v>
      </c>
      <c r="M39" s="3">
        <v>3</v>
      </c>
    </row>
    <row r="40" spans="1:13">
      <c r="A40" t="s">
        <v>28</v>
      </c>
      <c r="B40" t="s">
        <v>518</v>
      </c>
      <c r="C40" t="str" cm="1">
        <f t="array" ref="C40">_xlfn.IFS(B40="Surat","Gujarat",B40="Neemrana","Rajasthan",B40="Chennai","Tamil Nadu",B40="Siri City","Andhra Pradesh",B40="Pune","Maharastra",B40="Ahmedabad","Gujarat")</f>
        <v>Gujarat</v>
      </c>
      <c r="D40" t="s">
        <v>3</v>
      </c>
      <c r="E40" t="s">
        <v>25</v>
      </c>
      <c r="F40" s="2">
        <v>45141</v>
      </c>
      <c r="G40" s="3">
        <v>2</v>
      </c>
      <c r="H40" s="3">
        <v>2</v>
      </c>
      <c r="I40" s="3">
        <v>2</v>
      </c>
      <c r="J40" s="3">
        <v>3</v>
      </c>
      <c r="K40" s="3">
        <v>3</v>
      </c>
      <c r="L40" s="3">
        <v>1</v>
      </c>
      <c r="M40" s="3">
        <v>2</v>
      </c>
    </row>
    <row r="41" spans="1:13">
      <c r="A41" t="s">
        <v>42</v>
      </c>
      <c r="B41" t="s">
        <v>2</v>
      </c>
      <c r="C41" t="str" cm="1">
        <f t="array" ref="C41">_xlfn.IFS(B41="Surat","Gujarat",B41="Neemrana","Rajasthan",B41="Chennai","Tamil Nadu",B41="Siri City","Andhra Pradesh",B41="Pune","Maharastra",B41="Ahmedabad","Gujarat")</f>
        <v>Rajasthan</v>
      </c>
      <c r="D41" t="s">
        <v>3</v>
      </c>
      <c r="E41" t="s">
        <v>15</v>
      </c>
      <c r="F41" s="2">
        <v>45140</v>
      </c>
      <c r="G41" s="3">
        <v>3</v>
      </c>
      <c r="H41" s="3">
        <v>3</v>
      </c>
      <c r="I41" s="3">
        <v>3</v>
      </c>
      <c r="J41" s="3">
        <v>3</v>
      </c>
      <c r="K41" s="3">
        <v>4</v>
      </c>
      <c r="L41" s="3">
        <v>3</v>
      </c>
      <c r="M41" s="3">
        <v>2</v>
      </c>
    </row>
    <row r="42" spans="1:13">
      <c r="A42" t="s">
        <v>547</v>
      </c>
      <c r="B42" t="s">
        <v>2</v>
      </c>
      <c r="C42" t="str" cm="1">
        <f t="array" ref="C42">_xlfn.IFS(B42="Surat","Gujarat",B42="Neemrana","Rajasthan",B42="Chennai","Tamil Nadu",B42="Siri City","Andhra Pradesh",B42="Pune","Maharastra",B42="Ahmedabad","Gujarat")</f>
        <v>Rajasthan</v>
      </c>
      <c r="D42" t="s">
        <v>3</v>
      </c>
      <c r="E42" t="s">
        <v>43</v>
      </c>
      <c r="F42" s="2">
        <v>45140</v>
      </c>
      <c r="G42" s="3">
        <v>3</v>
      </c>
      <c r="H42" s="3">
        <v>4</v>
      </c>
      <c r="I42" s="3">
        <v>2</v>
      </c>
      <c r="J42" s="3">
        <v>3</v>
      </c>
      <c r="K42" s="3">
        <v>4</v>
      </c>
      <c r="L42" s="3">
        <v>4</v>
      </c>
      <c r="M42" s="3">
        <v>3</v>
      </c>
    </row>
    <row r="43" spans="1:13">
      <c r="A43" t="s">
        <v>609</v>
      </c>
      <c r="B43" t="s">
        <v>2</v>
      </c>
      <c r="C43" t="str" cm="1">
        <f t="array" ref="C43">_xlfn.IFS(B43="Surat","Gujarat",B43="Neemrana","Rajasthan",B43="Chennai","Tamil Nadu",B43="Siri City","Andhra Pradesh",B43="Pune","Maharastra",B43="Ahmedabad","Gujarat")</f>
        <v>Rajasthan</v>
      </c>
      <c r="D43" t="s">
        <v>3</v>
      </c>
      <c r="E43" t="s">
        <v>4</v>
      </c>
      <c r="F43" s="2">
        <v>45139</v>
      </c>
      <c r="G43" s="3">
        <v>5</v>
      </c>
      <c r="H43" s="3">
        <v>4</v>
      </c>
      <c r="I43" s="3">
        <v>5</v>
      </c>
      <c r="J43" s="3">
        <v>3</v>
      </c>
      <c r="K43" s="3">
        <v>5</v>
      </c>
      <c r="L43" s="3">
        <v>5</v>
      </c>
      <c r="M43" s="3">
        <v>4</v>
      </c>
    </row>
    <row r="44" spans="1:13">
      <c r="A44" t="s">
        <v>44</v>
      </c>
      <c r="B44" t="s">
        <v>32</v>
      </c>
      <c r="C44" t="str" cm="1">
        <f t="array" ref="C44">_xlfn.IFS(B44="Surat","Gujarat",B44="Neemrana","Rajasthan",B44="Chennai","Tamil Nadu",B44="Siri City","Andhra Pradesh",B44="Pune","Maharastra",B44="Ahmedabad","Gujarat")</f>
        <v>Tamil Nadu</v>
      </c>
      <c r="D44" t="s">
        <v>45</v>
      </c>
      <c r="E44" t="s">
        <v>46</v>
      </c>
      <c r="F44" s="2">
        <v>45113</v>
      </c>
      <c r="G44" s="3">
        <v>5</v>
      </c>
      <c r="H44" s="3">
        <v>5</v>
      </c>
      <c r="I44" s="3">
        <v>5</v>
      </c>
      <c r="J44" s="3">
        <v>5</v>
      </c>
      <c r="K44" s="3">
        <v>5</v>
      </c>
      <c r="L44" s="3">
        <v>5</v>
      </c>
      <c r="M44" s="3">
        <v>5</v>
      </c>
    </row>
    <row r="45" spans="1:13">
      <c r="A45" t="s">
        <v>30</v>
      </c>
      <c r="B45" t="s">
        <v>132</v>
      </c>
      <c r="C45" t="str" cm="1">
        <f t="array" ref="C45">_xlfn.IFS(B45="Surat","Gujarat",B45="Neemrana","Rajasthan",B45="Chennai","Tamil Nadu",B45="Sri City","Andhra Pradesh",B45="Pune","Maharastra",B45="Ahmedabad","Gujarat")</f>
        <v>Andhra Pradesh</v>
      </c>
      <c r="D45" t="s">
        <v>3</v>
      </c>
      <c r="E45" t="s">
        <v>12</v>
      </c>
      <c r="F45" s="2">
        <v>45112</v>
      </c>
      <c r="G45" s="3">
        <v>5</v>
      </c>
      <c r="H45" s="3">
        <v>5</v>
      </c>
      <c r="I45" s="3">
        <v>5</v>
      </c>
      <c r="J45" s="3">
        <v>5</v>
      </c>
      <c r="K45" s="3">
        <v>5</v>
      </c>
      <c r="L45" s="3">
        <v>5</v>
      </c>
      <c r="M45" s="3">
        <v>4</v>
      </c>
    </row>
    <row r="46" spans="1:13">
      <c r="A46" t="s">
        <v>47</v>
      </c>
      <c r="B46" t="s">
        <v>206</v>
      </c>
      <c r="C46" t="str" cm="1">
        <f t="array" ref="C46">_xlfn.IFS(B46="Surat","Gujarat",B46="Neemrana","Rajasthan",B46="Chennai","Tamil Nadu",B46="Sri City","Andhra Pradesh",B46="Pune","Maharastra",B46="Ahmedabad","Gujarat")</f>
        <v>Maharastra</v>
      </c>
      <c r="D46" t="s">
        <v>3</v>
      </c>
      <c r="E46" t="s">
        <v>46</v>
      </c>
      <c r="F46" s="2">
        <v>45111</v>
      </c>
      <c r="G46" s="3">
        <v>4</v>
      </c>
      <c r="H46" s="3">
        <v>4</v>
      </c>
      <c r="I46" s="3">
        <v>4</v>
      </c>
      <c r="J46" s="3">
        <v>2</v>
      </c>
      <c r="K46" s="3">
        <v>5</v>
      </c>
      <c r="L46" s="3">
        <v>3</v>
      </c>
      <c r="M46" s="3">
        <v>3</v>
      </c>
    </row>
    <row r="47" spans="1:13">
      <c r="A47" t="s">
        <v>48</v>
      </c>
      <c r="B47" t="s">
        <v>132</v>
      </c>
      <c r="C47" t="str" cm="1">
        <f t="array" ref="C47">_xlfn.IFS(B47="Surat","Gujarat",B47="Neemrana","Rajasthan",B47="Chennai","Tamil Nadu",B47="Sri City","Andhra Pradesh",B47="Pune","Maharastra",B47="Ahmedabad","Gujarat")</f>
        <v>Andhra Pradesh</v>
      </c>
      <c r="D47" t="s">
        <v>3</v>
      </c>
      <c r="E47" t="s">
        <v>49</v>
      </c>
      <c r="F47" s="2">
        <v>45147</v>
      </c>
      <c r="G47" s="3">
        <v>5</v>
      </c>
      <c r="H47" s="3">
        <v>5</v>
      </c>
      <c r="I47" s="3">
        <v>5</v>
      </c>
      <c r="J47" s="3">
        <v>5</v>
      </c>
      <c r="K47" s="3">
        <v>5</v>
      </c>
      <c r="L47" s="3">
        <v>5</v>
      </c>
      <c r="M47" s="3">
        <v>5</v>
      </c>
    </row>
    <row r="48" spans="1:13">
      <c r="A48" t="s">
        <v>28</v>
      </c>
      <c r="B48" t="s">
        <v>39</v>
      </c>
      <c r="C48" t="str" cm="1">
        <f t="array" ref="C48">_xlfn.IFS(B48="Surat","Gujarat",B48="Neemrana","Rajasthan",B48="Chennai","Tamil Nadu",B48="Siri City","Andhra Pradesh",B48="Pune","Maharastra",B48="Ahmedabad","Gujarat")</f>
        <v>Gujarat</v>
      </c>
      <c r="D48" t="s">
        <v>3</v>
      </c>
      <c r="E48" t="s">
        <v>23</v>
      </c>
      <c r="F48" s="2">
        <v>45114</v>
      </c>
      <c r="G48" s="3">
        <v>5</v>
      </c>
      <c r="H48" s="3">
        <v>4</v>
      </c>
      <c r="I48" s="3">
        <v>5</v>
      </c>
      <c r="J48" s="3">
        <v>3</v>
      </c>
      <c r="K48" s="3">
        <v>4</v>
      </c>
      <c r="L48" s="3">
        <v>2</v>
      </c>
      <c r="M48" s="3">
        <v>3</v>
      </c>
    </row>
    <row r="49" spans="1:13">
      <c r="A49" t="s">
        <v>1</v>
      </c>
      <c r="B49" t="s">
        <v>2</v>
      </c>
      <c r="C49" t="str" cm="1">
        <f t="array" ref="C49">_xlfn.IFS(B49="Surat","Gujarat",B49="Neemrana","Rajasthan",B49="Chennai","Tamil Nadu",B49="Siri City","Andhra Pradesh",B49="Pune","Maharastra",B49="Ahmedabad","Gujarat")</f>
        <v>Rajasthan</v>
      </c>
      <c r="D49" t="s">
        <v>3</v>
      </c>
      <c r="E49" t="s">
        <v>4</v>
      </c>
      <c r="F49" s="2">
        <v>45111</v>
      </c>
      <c r="G49" s="3">
        <v>5</v>
      </c>
      <c r="H49" s="3">
        <v>5</v>
      </c>
      <c r="I49" s="3">
        <v>4</v>
      </c>
      <c r="J49" s="3">
        <v>3</v>
      </c>
      <c r="K49" s="3">
        <v>5</v>
      </c>
      <c r="L49" s="3">
        <v>5</v>
      </c>
      <c r="M49" s="3">
        <v>3</v>
      </c>
    </row>
    <row r="50" spans="1:13">
      <c r="A50" t="s">
        <v>1</v>
      </c>
      <c r="B50" t="s">
        <v>2</v>
      </c>
      <c r="C50" t="str" cm="1">
        <f t="array" ref="C50">_xlfn.IFS(B50="Surat","Gujarat",B50="Neemrana","Rajasthan",B50="Chennai","Tamil Nadu",B50="Siri City","Andhra Pradesh",B50="Pune","Maharastra",B50="Ahmedabad","Gujarat")</f>
        <v>Rajasthan</v>
      </c>
      <c r="D50" t="s">
        <v>3</v>
      </c>
      <c r="E50" t="s">
        <v>12</v>
      </c>
      <c r="F50" s="2">
        <v>45110</v>
      </c>
      <c r="G50" s="3">
        <v>4</v>
      </c>
      <c r="H50" s="3">
        <v>3</v>
      </c>
      <c r="I50" s="3">
        <v>3</v>
      </c>
      <c r="J50" s="3">
        <v>2</v>
      </c>
      <c r="K50" s="3">
        <v>5</v>
      </c>
      <c r="L50" s="3">
        <v>4</v>
      </c>
      <c r="M50" s="3">
        <v>3</v>
      </c>
    </row>
    <row r="51" spans="1:13">
      <c r="A51" t="s">
        <v>632</v>
      </c>
      <c r="B51" t="s">
        <v>50</v>
      </c>
      <c r="C51" t="s">
        <v>50</v>
      </c>
      <c r="D51" t="s">
        <v>3</v>
      </c>
      <c r="E51" t="s">
        <v>6</v>
      </c>
      <c r="F51" s="2">
        <v>45115</v>
      </c>
      <c r="G51" s="3">
        <v>5</v>
      </c>
      <c r="H51" s="3">
        <v>3</v>
      </c>
      <c r="I51" s="3">
        <v>5</v>
      </c>
      <c r="J51" s="3">
        <v>3</v>
      </c>
      <c r="K51" s="3">
        <v>5</v>
      </c>
      <c r="L51" s="3">
        <v>5</v>
      </c>
      <c r="M51" s="3">
        <v>3</v>
      </c>
    </row>
    <row r="52" spans="1:13">
      <c r="A52" t="s">
        <v>1</v>
      </c>
      <c r="B52" t="s">
        <v>2</v>
      </c>
      <c r="C52" t="str" cm="1">
        <f t="array" ref="C52">_xlfn.IFS(B52="Surat","Gujarat",B52="Neemrana","Rajasthan",B52="Chennai","Tamil Nadu",B52="Siri City","Andhra Pradesh",B52="Pune","Maharastra",B52="Ahmedabad","Gujarat")</f>
        <v>Rajasthan</v>
      </c>
      <c r="D52" t="s">
        <v>3</v>
      </c>
      <c r="E52" t="s">
        <v>20</v>
      </c>
      <c r="F52" s="2">
        <v>45112</v>
      </c>
      <c r="G52" s="3">
        <v>4</v>
      </c>
      <c r="H52" s="3">
        <v>4</v>
      </c>
      <c r="I52" s="3">
        <v>3</v>
      </c>
      <c r="J52" s="3">
        <v>2</v>
      </c>
      <c r="K52" s="3">
        <v>5</v>
      </c>
      <c r="L52" s="3">
        <v>4</v>
      </c>
      <c r="M52" s="3">
        <v>3</v>
      </c>
    </row>
    <row r="53" spans="1:13">
      <c r="A53" t="s">
        <v>7</v>
      </c>
      <c r="B53" t="s">
        <v>50</v>
      </c>
      <c r="C53" t="s">
        <v>50</v>
      </c>
      <c r="D53" t="s">
        <v>3</v>
      </c>
      <c r="E53" t="s">
        <v>25</v>
      </c>
      <c r="F53" s="2">
        <v>45112</v>
      </c>
      <c r="G53" s="3">
        <v>3</v>
      </c>
      <c r="H53" s="3">
        <v>2</v>
      </c>
      <c r="I53" s="3">
        <v>2</v>
      </c>
      <c r="J53" s="3">
        <v>2</v>
      </c>
      <c r="K53" s="3">
        <v>4</v>
      </c>
      <c r="L53" s="3">
        <v>2</v>
      </c>
      <c r="M53" s="3">
        <v>2</v>
      </c>
    </row>
    <row r="54" spans="1:13">
      <c r="A54" t="s">
        <v>51</v>
      </c>
      <c r="B54" t="s">
        <v>2</v>
      </c>
      <c r="C54" t="s">
        <v>198</v>
      </c>
      <c r="D54" t="s">
        <v>3</v>
      </c>
      <c r="E54" t="s">
        <v>52</v>
      </c>
      <c r="F54" s="2">
        <v>45113</v>
      </c>
      <c r="G54" s="3">
        <v>4</v>
      </c>
      <c r="H54" s="3">
        <v>5</v>
      </c>
      <c r="I54" s="3">
        <v>5</v>
      </c>
      <c r="J54" s="3">
        <v>3</v>
      </c>
      <c r="K54" s="3">
        <v>5</v>
      </c>
      <c r="L54" s="3">
        <v>5</v>
      </c>
      <c r="M54" s="3">
        <v>3</v>
      </c>
    </row>
    <row r="55" spans="1:13">
      <c r="A55" t="s">
        <v>548</v>
      </c>
      <c r="B55" t="s">
        <v>213</v>
      </c>
      <c r="C55" t="s">
        <v>198</v>
      </c>
      <c r="D55" t="s">
        <v>3</v>
      </c>
      <c r="E55" t="s">
        <v>43</v>
      </c>
      <c r="F55" s="2">
        <v>45111</v>
      </c>
      <c r="G55" s="3">
        <v>3</v>
      </c>
      <c r="H55" s="3">
        <v>4</v>
      </c>
      <c r="I55" s="3">
        <v>5</v>
      </c>
      <c r="J55" s="3">
        <v>4</v>
      </c>
      <c r="K55" s="3">
        <v>1</v>
      </c>
      <c r="L55" s="3">
        <v>3</v>
      </c>
      <c r="M55" s="3">
        <v>1</v>
      </c>
    </row>
    <row r="56" spans="1:13">
      <c r="A56" t="s">
        <v>535</v>
      </c>
      <c r="B56" t="s">
        <v>50</v>
      </c>
      <c r="C56" t="s">
        <v>50</v>
      </c>
      <c r="D56" t="s">
        <v>3</v>
      </c>
      <c r="E56" t="s">
        <v>53</v>
      </c>
      <c r="F56" s="2">
        <v>45114</v>
      </c>
      <c r="G56" s="3">
        <v>3</v>
      </c>
      <c r="H56" s="3">
        <v>4</v>
      </c>
      <c r="I56" s="3">
        <v>3</v>
      </c>
      <c r="J56" s="3">
        <v>3</v>
      </c>
      <c r="K56" s="3">
        <v>4</v>
      </c>
      <c r="L56" s="3">
        <v>4</v>
      </c>
      <c r="M56" s="3">
        <v>3</v>
      </c>
    </row>
    <row r="57" spans="1:13">
      <c r="A57" t="s">
        <v>633</v>
      </c>
      <c r="B57" t="s">
        <v>558</v>
      </c>
      <c r="C57" t="s">
        <v>558</v>
      </c>
      <c r="D57" t="s">
        <v>3</v>
      </c>
      <c r="E57" t="s">
        <v>12</v>
      </c>
      <c r="F57" s="2">
        <v>45108</v>
      </c>
      <c r="G57" s="3">
        <v>4</v>
      </c>
      <c r="H57" s="3">
        <v>4</v>
      </c>
      <c r="I57" s="3">
        <v>3</v>
      </c>
      <c r="J57" s="3">
        <v>4</v>
      </c>
      <c r="K57" s="3">
        <v>4</v>
      </c>
      <c r="L57" s="3">
        <v>5</v>
      </c>
      <c r="M57" s="3">
        <v>4</v>
      </c>
    </row>
    <row r="58" spans="1:13">
      <c r="A58" t="s">
        <v>31</v>
      </c>
      <c r="B58" t="s">
        <v>2</v>
      </c>
      <c r="C58" t="s">
        <v>198</v>
      </c>
      <c r="D58" t="s">
        <v>3</v>
      </c>
      <c r="E58" t="s">
        <v>634</v>
      </c>
      <c r="F58" s="2">
        <v>45085</v>
      </c>
      <c r="G58" s="3">
        <v>4</v>
      </c>
      <c r="H58" s="3">
        <v>4</v>
      </c>
      <c r="I58" s="3">
        <v>3</v>
      </c>
      <c r="J58" s="3">
        <v>3</v>
      </c>
      <c r="K58" s="3">
        <v>4</v>
      </c>
      <c r="L58" s="3">
        <v>4</v>
      </c>
      <c r="M58" s="3">
        <v>3</v>
      </c>
    </row>
    <row r="59" spans="1:13">
      <c r="A59" t="s">
        <v>54</v>
      </c>
      <c r="B59" t="s">
        <v>2</v>
      </c>
      <c r="C59" t="s">
        <v>198</v>
      </c>
      <c r="D59" t="s">
        <v>3</v>
      </c>
      <c r="E59" t="s">
        <v>49</v>
      </c>
      <c r="F59" s="2">
        <v>45084</v>
      </c>
      <c r="G59" s="3">
        <v>4</v>
      </c>
      <c r="H59" s="3">
        <v>5</v>
      </c>
      <c r="I59" s="3">
        <v>1</v>
      </c>
      <c r="J59" s="3">
        <v>4</v>
      </c>
      <c r="K59" s="3">
        <v>5</v>
      </c>
      <c r="L59" s="3">
        <v>2</v>
      </c>
      <c r="M59" s="3">
        <v>2</v>
      </c>
    </row>
    <row r="60" spans="1:13">
      <c r="A60" t="s">
        <v>31</v>
      </c>
      <c r="B60" t="s">
        <v>2</v>
      </c>
      <c r="C60" t="s">
        <v>198</v>
      </c>
      <c r="D60" t="s">
        <v>55</v>
      </c>
      <c r="E60" t="s">
        <v>56</v>
      </c>
      <c r="F60" s="2">
        <v>45082</v>
      </c>
      <c r="G60" s="3">
        <v>5</v>
      </c>
      <c r="H60" s="3">
        <v>5</v>
      </c>
      <c r="I60" s="3">
        <v>5</v>
      </c>
      <c r="J60" s="3">
        <v>5</v>
      </c>
      <c r="K60" s="3">
        <v>5</v>
      </c>
      <c r="L60" s="3">
        <v>5</v>
      </c>
      <c r="M60" s="3">
        <v>5</v>
      </c>
    </row>
    <row r="61" spans="1:13">
      <c r="A61" t="s">
        <v>245</v>
      </c>
      <c r="B61" t="s">
        <v>519</v>
      </c>
      <c r="C61" t="s">
        <v>581</v>
      </c>
      <c r="D61" t="s">
        <v>3</v>
      </c>
      <c r="E61" t="s">
        <v>635</v>
      </c>
      <c r="F61" s="2">
        <v>45110</v>
      </c>
      <c r="G61" s="3">
        <v>4</v>
      </c>
      <c r="H61" s="3">
        <v>4</v>
      </c>
      <c r="I61" s="3">
        <v>4</v>
      </c>
      <c r="J61" s="3">
        <v>4</v>
      </c>
      <c r="K61" s="3">
        <v>4</v>
      </c>
      <c r="L61" s="3">
        <v>4</v>
      </c>
      <c r="M61" s="3">
        <v>4</v>
      </c>
    </row>
    <row r="62" spans="1:13">
      <c r="A62" t="s">
        <v>1</v>
      </c>
      <c r="B62" t="s">
        <v>2</v>
      </c>
      <c r="C62" t="s">
        <v>198</v>
      </c>
      <c r="D62" t="s">
        <v>3</v>
      </c>
      <c r="E62" t="s">
        <v>12</v>
      </c>
      <c r="F62" s="2">
        <v>45082</v>
      </c>
      <c r="G62" s="3">
        <v>4</v>
      </c>
      <c r="H62" s="3">
        <v>3</v>
      </c>
      <c r="I62" s="3">
        <v>3</v>
      </c>
      <c r="J62" s="3">
        <v>3</v>
      </c>
      <c r="K62" s="3">
        <v>4</v>
      </c>
      <c r="L62" s="3">
        <v>4</v>
      </c>
      <c r="M62" s="3">
        <v>3</v>
      </c>
    </row>
    <row r="63" spans="1:13">
      <c r="A63" t="s">
        <v>407</v>
      </c>
      <c r="B63" t="s">
        <v>558</v>
      </c>
      <c r="C63" t="s">
        <v>558</v>
      </c>
      <c r="D63" t="s">
        <v>3</v>
      </c>
      <c r="E63" t="s">
        <v>25</v>
      </c>
      <c r="F63" s="2">
        <v>45080</v>
      </c>
      <c r="G63" s="3">
        <v>4</v>
      </c>
      <c r="H63" s="3">
        <v>4</v>
      </c>
      <c r="I63" s="3">
        <v>4</v>
      </c>
      <c r="J63" s="3">
        <v>4</v>
      </c>
      <c r="K63" s="3">
        <v>4</v>
      </c>
      <c r="L63" s="3">
        <v>4</v>
      </c>
      <c r="M63" s="3">
        <v>4</v>
      </c>
    </row>
    <row r="64" spans="1:13">
      <c r="A64" t="s">
        <v>1</v>
      </c>
      <c r="B64" t="s">
        <v>525</v>
      </c>
      <c r="C64" t="s">
        <v>569</v>
      </c>
      <c r="D64" t="s">
        <v>3</v>
      </c>
      <c r="E64" t="s">
        <v>23</v>
      </c>
      <c r="F64" s="2">
        <v>45078</v>
      </c>
      <c r="G64" s="3">
        <v>5</v>
      </c>
      <c r="H64" s="3">
        <v>5</v>
      </c>
      <c r="I64" s="3">
        <v>5</v>
      </c>
      <c r="J64" s="3">
        <v>4</v>
      </c>
      <c r="K64" s="3">
        <v>5</v>
      </c>
      <c r="L64" s="3">
        <v>5</v>
      </c>
      <c r="M64" s="3">
        <v>4</v>
      </c>
    </row>
    <row r="65" spans="1:13">
      <c r="A65" t="s">
        <v>58</v>
      </c>
      <c r="B65" t="s">
        <v>32</v>
      </c>
      <c r="C65" t="s">
        <v>567</v>
      </c>
      <c r="D65" t="s">
        <v>3</v>
      </c>
      <c r="E65" t="s">
        <v>59</v>
      </c>
      <c r="F65" s="2">
        <v>45078</v>
      </c>
      <c r="G65" s="3">
        <v>5</v>
      </c>
      <c r="H65" s="3">
        <v>5</v>
      </c>
      <c r="I65" s="3">
        <v>5</v>
      </c>
      <c r="J65" s="3">
        <v>4</v>
      </c>
      <c r="K65" s="3">
        <v>5</v>
      </c>
      <c r="L65" s="3">
        <v>5</v>
      </c>
      <c r="M65" s="3">
        <v>4</v>
      </c>
    </row>
    <row r="66" spans="1:13">
      <c r="A66" t="s">
        <v>30</v>
      </c>
      <c r="B66" t="s">
        <v>2</v>
      </c>
      <c r="C66" t="s">
        <v>198</v>
      </c>
      <c r="D66" t="s">
        <v>3</v>
      </c>
      <c r="E66" t="s">
        <v>60</v>
      </c>
      <c r="F66" s="2">
        <v>45172</v>
      </c>
      <c r="G66" s="3">
        <v>5</v>
      </c>
      <c r="H66" s="3">
        <v>4</v>
      </c>
      <c r="I66" s="3">
        <v>5</v>
      </c>
      <c r="J66" s="3">
        <v>4</v>
      </c>
      <c r="K66" s="3">
        <v>5</v>
      </c>
      <c r="L66" s="3">
        <v>4</v>
      </c>
      <c r="M66" s="3">
        <v>4</v>
      </c>
    </row>
    <row r="67" spans="1:13">
      <c r="A67" t="s">
        <v>636</v>
      </c>
      <c r="B67" t="s">
        <v>243</v>
      </c>
      <c r="C67" t="str" cm="1">
        <f t="array" ref="C67">_xlfn.IFS(B67="Neemrana","Rajasthan",B67="Tadepalligudem","Andhra Pradesh",B67="Kolkata","West Bengal",B67="Unknown","Unknown",B67="Andheri East,Chakala","Mumbai",B67="Ahmadnagar","Maharastra",B67="Sri City","Andhra Pradesh",B67="Gurgaon","Haryana",B67="Ahmedbad","Gujarat",B67="Jaipur","Rajasthan",B67="Chennai","Tamil Nadu")</f>
        <v>Haryana</v>
      </c>
      <c r="D67" t="s">
        <v>3</v>
      </c>
      <c r="E67" t="s">
        <v>61</v>
      </c>
      <c r="F67" s="2">
        <v>45080</v>
      </c>
      <c r="G67" s="3">
        <v>5</v>
      </c>
      <c r="H67" s="3">
        <v>5</v>
      </c>
      <c r="I67" s="3">
        <v>4</v>
      </c>
      <c r="J67" s="3">
        <v>4</v>
      </c>
      <c r="K67" s="3">
        <v>5</v>
      </c>
      <c r="L67" s="3">
        <v>5</v>
      </c>
      <c r="M67" s="3">
        <v>4</v>
      </c>
    </row>
    <row r="68" spans="1:13">
      <c r="A68" t="s">
        <v>1</v>
      </c>
      <c r="B68" t="s">
        <v>2</v>
      </c>
      <c r="C68" t="s">
        <v>198</v>
      </c>
      <c r="D68" t="s">
        <v>3</v>
      </c>
      <c r="E68" t="s">
        <v>12</v>
      </c>
      <c r="F68" s="2">
        <v>45146</v>
      </c>
      <c r="G68" s="3">
        <v>5</v>
      </c>
      <c r="H68" s="3">
        <v>5</v>
      </c>
      <c r="I68" s="3">
        <v>5</v>
      </c>
      <c r="J68" s="3">
        <v>4</v>
      </c>
      <c r="K68" s="3">
        <v>5</v>
      </c>
      <c r="L68" s="3">
        <v>5</v>
      </c>
      <c r="M68" s="3">
        <v>4</v>
      </c>
    </row>
    <row r="69" spans="1:13">
      <c r="A69" t="s">
        <v>1</v>
      </c>
      <c r="B69" t="s">
        <v>2</v>
      </c>
      <c r="C69" t="s">
        <v>198</v>
      </c>
      <c r="D69" t="s">
        <v>3</v>
      </c>
      <c r="E69" t="s">
        <v>12</v>
      </c>
      <c r="F69" s="2">
        <v>45145</v>
      </c>
      <c r="G69" s="3">
        <v>5</v>
      </c>
      <c r="H69" s="3">
        <v>5</v>
      </c>
      <c r="I69" s="3">
        <v>5</v>
      </c>
      <c r="J69" s="3">
        <v>2</v>
      </c>
      <c r="K69" s="3">
        <v>5</v>
      </c>
      <c r="L69" s="3">
        <v>5</v>
      </c>
      <c r="M69" s="3">
        <v>3</v>
      </c>
    </row>
    <row r="70" spans="1:13">
      <c r="A70" t="s">
        <v>62</v>
      </c>
      <c r="B70" t="s">
        <v>192</v>
      </c>
      <c r="C70" t="s">
        <v>192</v>
      </c>
      <c r="D70" t="s">
        <v>3</v>
      </c>
      <c r="E70" t="s">
        <v>34</v>
      </c>
      <c r="F70" s="2">
        <v>45116</v>
      </c>
      <c r="G70" s="3">
        <v>4</v>
      </c>
      <c r="H70" s="3">
        <v>4</v>
      </c>
      <c r="I70" s="3">
        <v>4</v>
      </c>
      <c r="J70" s="3">
        <v>3</v>
      </c>
      <c r="K70" s="3">
        <v>4</v>
      </c>
      <c r="L70" s="3">
        <v>3</v>
      </c>
      <c r="M70" s="3">
        <v>3</v>
      </c>
    </row>
    <row r="71" spans="1:13">
      <c r="A71" t="s">
        <v>7</v>
      </c>
      <c r="B71" t="s">
        <v>518</v>
      </c>
      <c r="C71" t="s">
        <v>581</v>
      </c>
      <c r="D71" t="s">
        <v>3</v>
      </c>
      <c r="E71" t="s">
        <v>63</v>
      </c>
      <c r="F71" s="2">
        <v>45086</v>
      </c>
      <c r="G71" s="3">
        <v>4</v>
      </c>
      <c r="H71" s="3">
        <v>4</v>
      </c>
      <c r="I71" s="3">
        <v>4</v>
      </c>
      <c r="J71" s="3">
        <v>4</v>
      </c>
      <c r="K71" s="3">
        <v>3</v>
      </c>
      <c r="L71" s="3">
        <v>3</v>
      </c>
      <c r="M71" s="3">
        <v>3</v>
      </c>
    </row>
    <row r="72" spans="1:13">
      <c r="A72" t="s">
        <v>1</v>
      </c>
      <c r="B72" t="s">
        <v>2</v>
      </c>
      <c r="C72" t="s">
        <v>198</v>
      </c>
      <c r="D72" t="s">
        <v>3</v>
      </c>
      <c r="E72" t="s">
        <v>26</v>
      </c>
      <c r="F72" s="2">
        <v>45017</v>
      </c>
      <c r="G72" s="3">
        <v>3</v>
      </c>
      <c r="H72" s="3">
        <v>5</v>
      </c>
      <c r="I72" s="3">
        <v>5</v>
      </c>
      <c r="J72" s="3">
        <v>3</v>
      </c>
      <c r="K72" s="3">
        <v>5</v>
      </c>
      <c r="L72" s="3">
        <v>5</v>
      </c>
      <c r="M72" s="3">
        <v>3</v>
      </c>
    </row>
    <row r="73" spans="1:13">
      <c r="A73" t="s">
        <v>1</v>
      </c>
      <c r="B73" t="s">
        <v>2</v>
      </c>
      <c r="C73" t="s">
        <v>198</v>
      </c>
      <c r="D73" t="s">
        <v>3</v>
      </c>
      <c r="E73" t="s">
        <v>12</v>
      </c>
      <c r="F73" s="2">
        <v>44991</v>
      </c>
      <c r="G73" s="3">
        <v>5</v>
      </c>
      <c r="H73" s="3">
        <v>5</v>
      </c>
      <c r="I73" s="3">
        <v>4</v>
      </c>
      <c r="J73" s="3">
        <v>5</v>
      </c>
      <c r="K73" s="3">
        <v>5</v>
      </c>
      <c r="L73" s="3">
        <v>5</v>
      </c>
      <c r="M73" s="3">
        <v>5</v>
      </c>
    </row>
    <row r="74" spans="1:13">
      <c r="A74" t="s">
        <v>64</v>
      </c>
      <c r="B74" t="s">
        <v>2</v>
      </c>
      <c r="C74" t="s">
        <v>198</v>
      </c>
      <c r="D74" t="s">
        <v>3</v>
      </c>
      <c r="E74" t="s">
        <v>52</v>
      </c>
      <c r="F74" s="2">
        <v>45177</v>
      </c>
      <c r="G74" s="3">
        <v>5</v>
      </c>
      <c r="H74" s="3">
        <v>5</v>
      </c>
      <c r="I74" s="3">
        <v>4</v>
      </c>
      <c r="J74" s="3">
        <v>3</v>
      </c>
      <c r="K74" s="3">
        <v>5</v>
      </c>
      <c r="L74" s="3">
        <v>5</v>
      </c>
      <c r="M74" s="3">
        <v>3</v>
      </c>
    </row>
    <row r="75" spans="1:13">
      <c r="A75" t="s">
        <v>637</v>
      </c>
      <c r="B75" t="s">
        <v>558</v>
      </c>
      <c r="C75" t="s">
        <v>558</v>
      </c>
      <c r="D75" t="s">
        <v>55</v>
      </c>
      <c r="E75" t="s">
        <v>65</v>
      </c>
      <c r="F75" s="2">
        <v>45170</v>
      </c>
      <c r="G75" s="3">
        <v>3</v>
      </c>
      <c r="H75" s="3">
        <v>4</v>
      </c>
      <c r="I75" s="3">
        <v>3</v>
      </c>
      <c r="J75" s="3">
        <v>2</v>
      </c>
      <c r="K75" s="3">
        <v>5</v>
      </c>
      <c r="L75" s="3">
        <v>3</v>
      </c>
      <c r="M75" s="3">
        <v>2</v>
      </c>
    </row>
    <row r="76" spans="1:13">
      <c r="A76" t="s">
        <v>1</v>
      </c>
      <c r="B76" t="s">
        <v>2</v>
      </c>
      <c r="C76" t="s">
        <v>198</v>
      </c>
      <c r="D76" t="s">
        <v>3</v>
      </c>
      <c r="E76" t="s">
        <v>20</v>
      </c>
      <c r="F76" s="2">
        <v>45081</v>
      </c>
      <c r="G76" s="3">
        <v>5</v>
      </c>
      <c r="H76" s="3">
        <v>5</v>
      </c>
      <c r="I76" s="3">
        <v>4</v>
      </c>
      <c r="J76" s="3">
        <v>4</v>
      </c>
      <c r="K76" s="3">
        <v>5</v>
      </c>
      <c r="L76" s="3">
        <v>5</v>
      </c>
      <c r="M76" s="3">
        <v>4</v>
      </c>
    </row>
    <row r="77" spans="1:13">
      <c r="A77" t="s">
        <v>1</v>
      </c>
      <c r="B77" t="s">
        <v>2</v>
      </c>
      <c r="C77" t="s">
        <v>198</v>
      </c>
      <c r="D77" t="s">
        <v>3</v>
      </c>
      <c r="E77" t="s">
        <v>66</v>
      </c>
      <c r="F77" s="2">
        <v>45175</v>
      </c>
      <c r="G77" s="3">
        <v>5</v>
      </c>
      <c r="H77" s="3">
        <v>5</v>
      </c>
      <c r="I77" s="3">
        <v>5</v>
      </c>
      <c r="J77" s="3">
        <v>5</v>
      </c>
      <c r="K77" s="3">
        <v>5</v>
      </c>
      <c r="L77" s="3">
        <v>5</v>
      </c>
      <c r="M77" s="3">
        <v>5</v>
      </c>
    </row>
    <row r="78" spans="1:13">
      <c r="A78" t="s">
        <v>67</v>
      </c>
      <c r="B78" t="s">
        <v>68</v>
      </c>
      <c r="C78" t="s">
        <v>577</v>
      </c>
      <c r="D78" t="s">
        <v>3</v>
      </c>
      <c r="E78" t="s">
        <v>69</v>
      </c>
      <c r="F78" s="2">
        <v>45078</v>
      </c>
      <c r="G78" s="3">
        <v>4</v>
      </c>
      <c r="H78" s="3">
        <v>4</v>
      </c>
      <c r="I78" s="3">
        <v>5</v>
      </c>
      <c r="J78" s="3">
        <v>2</v>
      </c>
      <c r="K78" s="3">
        <v>4</v>
      </c>
      <c r="L78" s="3">
        <v>3</v>
      </c>
      <c r="M78" s="3">
        <v>3</v>
      </c>
    </row>
    <row r="79" spans="1:13">
      <c r="A79" t="s">
        <v>40</v>
      </c>
      <c r="B79" t="s">
        <v>78</v>
      </c>
      <c r="C79" t="s">
        <v>569</v>
      </c>
      <c r="D79" t="s">
        <v>3</v>
      </c>
      <c r="E79" t="s">
        <v>34</v>
      </c>
      <c r="F79" s="2">
        <v>45140</v>
      </c>
      <c r="G79" s="3">
        <v>5</v>
      </c>
      <c r="H79" s="3">
        <v>5</v>
      </c>
      <c r="I79" s="3">
        <v>5</v>
      </c>
      <c r="J79" s="3">
        <v>5</v>
      </c>
      <c r="K79" s="3">
        <v>5</v>
      </c>
      <c r="L79" s="3">
        <v>5</v>
      </c>
      <c r="M79" s="3">
        <v>5</v>
      </c>
    </row>
    <row r="80" spans="1:13">
      <c r="A80" t="s">
        <v>30</v>
      </c>
      <c r="B80" t="s">
        <v>50</v>
      </c>
      <c r="C80" t="s">
        <v>50</v>
      </c>
      <c r="D80" t="s">
        <v>3</v>
      </c>
      <c r="E80" t="s">
        <v>12</v>
      </c>
      <c r="F80" s="2">
        <v>45143</v>
      </c>
      <c r="G80" s="3">
        <v>4</v>
      </c>
      <c r="H80" s="3">
        <v>4</v>
      </c>
      <c r="I80" s="3">
        <v>4</v>
      </c>
      <c r="J80" s="3">
        <v>4</v>
      </c>
      <c r="K80" s="3">
        <v>5</v>
      </c>
      <c r="L80" s="3">
        <v>5</v>
      </c>
      <c r="M80" s="3">
        <v>4</v>
      </c>
    </row>
    <row r="81" spans="1:13">
      <c r="A81" t="s">
        <v>70</v>
      </c>
      <c r="B81" t="s">
        <v>39</v>
      </c>
      <c r="C81" t="s">
        <v>581</v>
      </c>
      <c r="D81" t="s">
        <v>3</v>
      </c>
      <c r="E81" t="s">
        <v>627</v>
      </c>
      <c r="F81" s="2">
        <v>45084</v>
      </c>
      <c r="G81" s="3">
        <v>4</v>
      </c>
      <c r="H81" s="3">
        <v>4</v>
      </c>
      <c r="I81" s="3">
        <v>3</v>
      </c>
      <c r="J81" s="3">
        <v>3</v>
      </c>
      <c r="K81" s="3">
        <v>4</v>
      </c>
      <c r="L81" s="3">
        <v>3</v>
      </c>
      <c r="M81" s="3">
        <v>2</v>
      </c>
    </row>
    <row r="82" spans="1:13">
      <c r="A82" t="s">
        <v>40</v>
      </c>
      <c r="B82" t="s">
        <v>50</v>
      </c>
      <c r="C82" t="s">
        <v>50</v>
      </c>
      <c r="D82" t="s">
        <v>3</v>
      </c>
      <c r="E82" t="s">
        <v>638</v>
      </c>
      <c r="F82" s="2">
        <v>45055</v>
      </c>
      <c r="G82" s="3">
        <v>3</v>
      </c>
      <c r="H82" s="3">
        <v>2</v>
      </c>
      <c r="I82" s="3">
        <v>4</v>
      </c>
      <c r="J82" s="3">
        <v>3</v>
      </c>
      <c r="K82" s="3">
        <v>5</v>
      </c>
      <c r="L82" s="3">
        <v>3</v>
      </c>
      <c r="M82" s="3">
        <v>3</v>
      </c>
    </row>
    <row r="83" spans="1:13">
      <c r="A83" t="s">
        <v>71</v>
      </c>
      <c r="B83" t="s">
        <v>72</v>
      </c>
      <c r="C83" t="s">
        <v>578</v>
      </c>
      <c r="D83" t="s">
        <v>3</v>
      </c>
      <c r="E83" t="s">
        <v>627</v>
      </c>
      <c r="F83" s="2">
        <v>44959</v>
      </c>
      <c r="G83" s="3">
        <v>1</v>
      </c>
      <c r="H83" s="3">
        <v>4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</row>
    <row r="84" spans="1:13">
      <c r="A84" t="s">
        <v>16</v>
      </c>
      <c r="B84" t="s">
        <v>243</v>
      </c>
      <c r="C84" t="str" cm="1">
        <f t="array" ref="C84">_xlfn.IFS(B84="Neemrana","Rajasthan",B84="Tadepalligudem","Andhra Pradesh",B84="Kolkata","West Bengal",B84="Unknown","Unknown",B84="Andheri East,Chakala","Mumbai",B84="Ahmadnagar","Maharastra",B84="Sri City","Andhra Pradesh",B84="Gurgaon","Haryana",B84="Ahmedbad","Gujarat",B84="Jaipur","Rajasthan",B84="Chennai","Tamil Nadu")</f>
        <v>Haryana</v>
      </c>
      <c r="D84" t="s">
        <v>3</v>
      </c>
      <c r="E84" t="s">
        <v>15</v>
      </c>
      <c r="F84" s="2">
        <v>45139</v>
      </c>
      <c r="G84" s="3">
        <v>5</v>
      </c>
      <c r="H84" s="3">
        <v>5</v>
      </c>
      <c r="I84" s="3">
        <v>4</v>
      </c>
      <c r="J84" s="3">
        <v>3</v>
      </c>
      <c r="K84" s="3">
        <v>5</v>
      </c>
      <c r="L84" s="3">
        <v>5</v>
      </c>
      <c r="M84" s="3">
        <v>4</v>
      </c>
    </row>
    <row r="85" spans="1:13">
      <c r="A85" t="s">
        <v>73</v>
      </c>
      <c r="B85" t="s">
        <v>2</v>
      </c>
      <c r="C85" t="s">
        <v>198</v>
      </c>
      <c r="D85" t="s">
        <v>74</v>
      </c>
      <c r="E85" t="s">
        <v>49</v>
      </c>
      <c r="F85" s="2">
        <v>45173</v>
      </c>
      <c r="G85" s="3">
        <v>4</v>
      </c>
      <c r="H85" s="3">
        <v>4</v>
      </c>
      <c r="I85" s="3">
        <v>4</v>
      </c>
      <c r="J85" s="3">
        <v>4</v>
      </c>
      <c r="K85" s="3">
        <v>4</v>
      </c>
      <c r="L85" s="3">
        <v>4</v>
      </c>
      <c r="M85" s="3">
        <v>3</v>
      </c>
    </row>
    <row r="86" spans="1:13">
      <c r="A86" t="s">
        <v>31</v>
      </c>
      <c r="B86" t="s">
        <v>2</v>
      </c>
      <c r="C86" t="s">
        <v>198</v>
      </c>
      <c r="D86" t="s">
        <v>3</v>
      </c>
      <c r="E86" t="s">
        <v>4</v>
      </c>
      <c r="F86" s="2">
        <v>45078</v>
      </c>
      <c r="G86" s="3">
        <v>4</v>
      </c>
      <c r="H86" s="3">
        <v>4</v>
      </c>
      <c r="I86" s="3">
        <v>3</v>
      </c>
      <c r="J86" s="3">
        <v>3</v>
      </c>
      <c r="K86" s="3">
        <v>5</v>
      </c>
      <c r="L86" s="3">
        <v>4</v>
      </c>
      <c r="M86" s="3">
        <v>3</v>
      </c>
    </row>
    <row r="87" spans="1:13">
      <c r="A87" t="s">
        <v>639</v>
      </c>
      <c r="B87" t="s">
        <v>132</v>
      </c>
      <c r="C87" t="s">
        <v>358</v>
      </c>
      <c r="D87" t="s">
        <v>3</v>
      </c>
      <c r="E87" t="s">
        <v>49</v>
      </c>
      <c r="F87" s="2">
        <v>45140</v>
      </c>
      <c r="G87" s="3">
        <v>5</v>
      </c>
      <c r="H87" s="3">
        <v>5</v>
      </c>
      <c r="I87" s="3">
        <v>3</v>
      </c>
      <c r="J87" s="3">
        <v>5</v>
      </c>
      <c r="K87" s="3">
        <v>5</v>
      </c>
      <c r="L87" s="3">
        <v>3</v>
      </c>
      <c r="M87" s="3">
        <v>5</v>
      </c>
    </row>
    <row r="88" spans="1:13">
      <c r="A88" t="s">
        <v>75</v>
      </c>
      <c r="B88" t="s">
        <v>132</v>
      </c>
      <c r="C88" t="s">
        <v>358</v>
      </c>
      <c r="D88" t="s">
        <v>55</v>
      </c>
      <c r="E88" t="s">
        <v>26</v>
      </c>
      <c r="F88" s="2">
        <v>45085</v>
      </c>
      <c r="G88" s="3">
        <v>2</v>
      </c>
      <c r="H88" s="3">
        <v>2</v>
      </c>
      <c r="I88" s="3">
        <v>5</v>
      </c>
      <c r="J88" s="3">
        <v>3</v>
      </c>
      <c r="K88" s="3">
        <v>5</v>
      </c>
      <c r="L88" s="3">
        <v>3</v>
      </c>
      <c r="M88" s="3">
        <v>2</v>
      </c>
    </row>
    <row r="89" spans="1:13">
      <c r="A89" t="s">
        <v>76</v>
      </c>
      <c r="B89" t="s">
        <v>2</v>
      </c>
      <c r="C89" t="s">
        <v>198</v>
      </c>
      <c r="D89" t="s">
        <v>55</v>
      </c>
      <c r="E89" t="s">
        <v>20</v>
      </c>
      <c r="F89" s="2">
        <v>45079</v>
      </c>
      <c r="G89" s="3">
        <v>2</v>
      </c>
      <c r="H89" s="3">
        <v>2</v>
      </c>
      <c r="I89" s="3">
        <v>2</v>
      </c>
      <c r="J89" s="3">
        <v>1</v>
      </c>
      <c r="K89" s="3">
        <v>2</v>
      </c>
      <c r="L89" s="3">
        <v>2</v>
      </c>
      <c r="M89" s="3">
        <v>2</v>
      </c>
    </row>
    <row r="90" spans="1:13">
      <c r="A90" t="s">
        <v>77</v>
      </c>
      <c r="B90" t="s">
        <v>2</v>
      </c>
      <c r="C90" t="s">
        <v>198</v>
      </c>
      <c r="D90" t="s">
        <v>3</v>
      </c>
      <c r="E90" t="s">
        <v>4</v>
      </c>
      <c r="F90" s="2">
        <v>45173</v>
      </c>
      <c r="G90" s="3">
        <v>5</v>
      </c>
      <c r="H90" s="3">
        <v>5</v>
      </c>
      <c r="I90" s="3">
        <v>5</v>
      </c>
      <c r="J90" s="3">
        <v>5</v>
      </c>
      <c r="K90" s="3">
        <v>5</v>
      </c>
      <c r="L90" s="3">
        <v>5</v>
      </c>
      <c r="M90" s="3">
        <v>5</v>
      </c>
    </row>
    <row r="91" spans="1:13">
      <c r="A91" t="s">
        <v>1</v>
      </c>
      <c r="B91" t="s">
        <v>2</v>
      </c>
      <c r="C91" t="s">
        <v>198</v>
      </c>
      <c r="D91" t="s">
        <v>3</v>
      </c>
      <c r="E91" t="s">
        <v>26</v>
      </c>
      <c r="F91" s="2">
        <v>45052</v>
      </c>
      <c r="G91" s="3">
        <v>2</v>
      </c>
      <c r="H91" s="3">
        <v>1</v>
      </c>
      <c r="I91" s="3">
        <v>1</v>
      </c>
      <c r="J91" s="3">
        <v>1</v>
      </c>
      <c r="K91" s="3">
        <v>4</v>
      </c>
      <c r="L91" s="3">
        <v>2</v>
      </c>
      <c r="M91" s="3">
        <v>1</v>
      </c>
    </row>
    <row r="92" spans="1:13">
      <c r="A92" t="s">
        <v>640</v>
      </c>
      <c r="B92" t="s">
        <v>78</v>
      </c>
      <c r="C92" t="s">
        <v>569</v>
      </c>
      <c r="D92" t="s">
        <v>3</v>
      </c>
      <c r="E92" t="s">
        <v>34</v>
      </c>
      <c r="F92" s="2">
        <v>44992</v>
      </c>
      <c r="G92" s="3">
        <v>4</v>
      </c>
      <c r="H92" s="3">
        <v>4</v>
      </c>
      <c r="I92" s="3">
        <v>5</v>
      </c>
      <c r="J92" s="3">
        <v>4</v>
      </c>
      <c r="K92" s="3">
        <v>5</v>
      </c>
      <c r="L92" s="3">
        <v>5</v>
      </c>
      <c r="M92" s="3">
        <v>4</v>
      </c>
    </row>
    <row r="93" spans="1:13">
      <c r="A93" t="s">
        <v>36</v>
      </c>
      <c r="B93" t="s">
        <v>2</v>
      </c>
      <c r="C93" t="s">
        <v>198</v>
      </c>
      <c r="D93" t="s">
        <v>3</v>
      </c>
      <c r="E93" t="s">
        <v>79</v>
      </c>
      <c r="F93" s="2">
        <v>45018</v>
      </c>
      <c r="G93" s="3">
        <v>4</v>
      </c>
      <c r="H93" s="3">
        <v>4</v>
      </c>
      <c r="I93" s="3">
        <v>4</v>
      </c>
      <c r="J93" s="3">
        <v>4</v>
      </c>
      <c r="K93" s="3">
        <v>4</v>
      </c>
      <c r="L93" s="3">
        <v>4</v>
      </c>
      <c r="M93" s="3">
        <v>3</v>
      </c>
    </row>
    <row r="94" spans="1:13">
      <c r="A94" t="s">
        <v>1</v>
      </c>
      <c r="B94" t="s">
        <v>2</v>
      </c>
      <c r="C94" t="s">
        <v>198</v>
      </c>
      <c r="D94" t="s">
        <v>3</v>
      </c>
      <c r="E94" t="s">
        <v>20</v>
      </c>
      <c r="F94" s="2">
        <v>45112</v>
      </c>
      <c r="G94" s="3">
        <v>4</v>
      </c>
      <c r="H94" s="3">
        <v>5</v>
      </c>
      <c r="I94" s="3">
        <v>5</v>
      </c>
      <c r="J94" s="3">
        <v>3</v>
      </c>
      <c r="K94" s="3">
        <v>5</v>
      </c>
      <c r="L94" s="3">
        <v>5</v>
      </c>
      <c r="M94" s="3">
        <v>3</v>
      </c>
    </row>
    <row r="95" spans="1:13" ht="15" customHeight="1">
      <c r="A95" t="s">
        <v>641</v>
      </c>
      <c r="B95" t="s">
        <v>2</v>
      </c>
      <c r="C95" t="s">
        <v>198</v>
      </c>
      <c r="D95" t="s">
        <v>74</v>
      </c>
      <c r="E95" t="s">
        <v>80</v>
      </c>
      <c r="F95" s="2">
        <v>45047</v>
      </c>
      <c r="G95" s="3">
        <v>5</v>
      </c>
      <c r="H95" s="3">
        <v>4</v>
      </c>
      <c r="I95" s="3">
        <v>5</v>
      </c>
      <c r="J95" s="3">
        <v>4</v>
      </c>
      <c r="K95" s="3">
        <v>5</v>
      </c>
      <c r="L95" s="3">
        <v>5</v>
      </c>
      <c r="M95" s="3">
        <v>4</v>
      </c>
    </row>
    <row r="96" spans="1:13">
      <c r="A96" t="s">
        <v>1</v>
      </c>
      <c r="B96" t="s">
        <v>39</v>
      </c>
      <c r="C96" t="s">
        <v>581</v>
      </c>
      <c r="D96" t="s">
        <v>3</v>
      </c>
      <c r="E96" t="s">
        <v>4</v>
      </c>
      <c r="F96" s="2">
        <v>45142</v>
      </c>
      <c r="G96" s="3">
        <v>4</v>
      </c>
      <c r="H96" s="3">
        <v>4</v>
      </c>
      <c r="I96" s="3">
        <v>4</v>
      </c>
      <c r="J96" s="3">
        <v>3</v>
      </c>
      <c r="K96" s="3">
        <v>5</v>
      </c>
      <c r="L96" s="3">
        <v>4</v>
      </c>
      <c r="M96" s="3">
        <v>3</v>
      </c>
    </row>
    <row r="97" spans="1:13">
      <c r="A97" t="s">
        <v>28</v>
      </c>
      <c r="B97" t="s">
        <v>520</v>
      </c>
      <c r="C97" t="s">
        <v>198</v>
      </c>
      <c r="D97" t="s">
        <v>3</v>
      </c>
      <c r="E97" t="s">
        <v>638</v>
      </c>
      <c r="F97" s="2">
        <v>45052</v>
      </c>
      <c r="G97" s="3">
        <v>4</v>
      </c>
      <c r="H97" s="3">
        <v>3</v>
      </c>
      <c r="I97" s="3">
        <v>5</v>
      </c>
      <c r="J97" s="3">
        <v>2</v>
      </c>
      <c r="K97" s="3">
        <v>5</v>
      </c>
      <c r="L97" s="3">
        <v>3</v>
      </c>
      <c r="M97" s="3">
        <v>2</v>
      </c>
    </row>
    <row r="98" spans="1:13">
      <c r="A98" t="s">
        <v>28</v>
      </c>
      <c r="B98" t="s">
        <v>132</v>
      </c>
      <c r="C98" t="s">
        <v>358</v>
      </c>
      <c r="D98" t="s">
        <v>3</v>
      </c>
      <c r="E98" t="s">
        <v>52</v>
      </c>
      <c r="F98" s="2">
        <v>45108</v>
      </c>
      <c r="G98" s="3">
        <v>2</v>
      </c>
      <c r="H98" s="3">
        <v>1</v>
      </c>
      <c r="I98" s="3">
        <v>2</v>
      </c>
      <c r="J98" s="3">
        <v>3</v>
      </c>
      <c r="K98" s="3">
        <v>4</v>
      </c>
      <c r="L98" s="3">
        <v>1</v>
      </c>
      <c r="M98" s="3">
        <v>2</v>
      </c>
    </row>
    <row r="99" spans="1:13">
      <c r="A99" t="s">
        <v>81</v>
      </c>
      <c r="B99" t="s">
        <v>193</v>
      </c>
      <c r="C99" t="s">
        <v>572</v>
      </c>
      <c r="D99" t="s">
        <v>3</v>
      </c>
      <c r="E99" t="s">
        <v>642</v>
      </c>
      <c r="F99" s="2">
        <v>44808</v>
      </c>
      <c r="G99" s="3">
        <v>4</v>
      </c>
      <c r="H99" s="3">
        <v>3</v>
      </c>
      <c r="I99" s="3">
        <v>4</v>
      </c>
      <c r="J99" s="3">
        <v>3</v>
      </c>
      <c r="K99" s="3">
        <v>5</v>
      </c>
      <c r="L99" s="3">
        <v>3</v>
      </c>
      <c r="M99" s="3">
        <v>2</v>
      </c>
    </row>
    <row r="100" spans="1:13">
      <c r="A100" t="s">
        <v>537</v>
      </c>
      <c r="B100" t="s">
        <v>82</v>
      </c>
      <c r="C100" t="s">
        <v>566</v>
      </c>
      <c r="D100" t="s">
        <v>3</v>
      </c>
      <c r="E100" t="s">
        <v>53</v>
      </c>
      <c r="F100" s="2">
        <v>45170</v>
      </c>
      <c r="G100" s="3">
        <v>4</v>
      </c>
      <c r="H100" s="3">
        <v>4</v>
      </c>
      <c r="I100" s="3">
        <v>4</v>
      </c>
      <c r="J100" s="3">
        <v>4</v>
      </c>
      <c r="K100" s="3">
        <v>4</v>
      </c>
      <c r="L100" s="3">
        <v>4</v>
      </c>
      <c r="M100" s="3">
        <v>4</v>
      </c>
    </row>
    <row r="101" spans="1:13">
      <c r="A101" t="s">
        <v>7</v>
      </c>
      <c r="B101" t="s">
        <v>32</v>
      </c>
      <c r="C101" t="s">
        <v>567</v>
      </c>
      <c r="D101" t="s">
        <v>3</v>
      </c>
      <c r="E101" t="s">
        <v>20</v>
      </c>
      <c r="F101" s="2">
        <v>45144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</row>
    <row r="102" spans="1:13">
      <c r="A102" t="s">
        <v>83</v>
      </c>
      <c r="B102" t="s">
        <v>192</v>
      </c>
      <c r="C102" t="s">
        <v>192</v>
      </c>
      <c r="D102" t="s">
        <v>3</v>
      </c>
      <c r="E102" t="s">
        <v>34</v>
      </c>
      <c r="F102" s="2">
        <v>45115</v>
      </c>
      <c r="G102" s="3">
        <v>3</v>
      </c>
      <c r="H102" s="3">
        <v>2</v>
      </c>
      <c r="I102" s="3">
        <v>5</v>
      </c>
      <c r="J102" s="3">
        <v>3</v>
      </c>
      <c r="K102" s="3">
        <v>4</v>
      </c>
      <c r="L102" s="3">
        <v>4</v>
      </c>
      <c r="M102" s="3">
        <v>3</v>
      </c>
    </row>
    <row r="103" spans="1:13">
      <c r="A103" t="s">
        <v>643</v>
      </c>
      <c r="B103" t="s">
        <v>78</v>
      </c>
      <c r="C103" t="s">
        <v>569</v>
      </c>
      <c r="D103" t="s">
        <v>3</v>
      </c>
      <c r="E103" t="s">
        <v>34</v>
      </c>
      <c r="F103" s="2">
        <v>44988</v>
      </c>
      <c r="G103" s="3">
        <v>4</v>
      </c>
      <c r="H103" s="3">
        <v>2</v>
      </c>
      <c r="I103" s="3">
        <v>4</v>
      </c>
      <c r="J103" s="3">
        <v>3</v>
      </c>
      <c r="K103" s="3">
        <v>5</v>
      </c>
      <c r="L103" s="3">
        <v>4</v>
      </c>
      <c r="M103" s="3">
        <v>3</v>
      </c>
    </row>
    <row r="104" spans="1:13">
      <c r="A104" t="s">
        <v>84</v>
      </c>
      <c r="B104" t="s">
        <v>521</v>
      </c>
      <c r="C104" t="s">
        <v>521</v>
      </c>
      <c r="D104" t="s">
        <v>3</v>
      </c>
      <c r="E104" t="s">
        <v>638</v>
      </c>
      <c r="F104" s="2">
        <v>45108</v>
      </c>
      <c r="G104" s="3">
        <v>4</v>
      </c>
      <c r="H104" s="3">
        <v>3</v>
      </c>
      <c r="I104" s="3">
        <v>5</v>
      </c>
      <c r="J104" s="3">
        <v>3</v>
      </c>
      <c r="K104" s="3">
        <v>5</v>
      </c>
      <c r="L104" s="3">
        <v>5</v>
      </c>
      <c r="M104" s="3">
        <v>2</v>
      </c>
    </row>
    <row r="105" spans="1:13">
      <c r="A105" t="s">
        <v>85</v>
      </c>
      <c r="B105" t="s">
        <v>82</v>
      </c>
      <c r="C105" t="s">
        <v>566</v>
      </c>
      <c r="D105" t="s">
        <v>3</v>
      </c>
      <c r="E105" t="s">
        <v>26</v>
      </c>
      <c r="F105" s="2">
        <v>45170</v>
      </c>
      <c r="G105" s="3">
        <v>5</v>
      </c>
      <c r="H105" s="3">
        <v>5</v>
      </c>
      <c r="I105" s="3">
        <v>5</v>
      </c>
      <c r="J105" s="3">
        <v>5</v>
      </c>
      <c r="K105" s="3">
        <v>5</v>
      </c>
      <c r="L105" s="3">
        <v>5</v>
      </c>
      <c r="M105" s="3">
        <v>5</v>
      </c>
    </row>
    <row r="106" spans="1:13">
      <c r="A106" t="s">
        <v>86</v>
      </c>
      <c r="B106" t="s">
        <v>243</v>
      </c>
      <c r="C106" t="s">
        <v>574</v>
      </c>
      <c r="D106" t="s">
        <v>3</v>
      </c>
      <c r="E106" t="s">
        <v>49</v>
      </c>
      <c r="F106" s="2">
        <v>45171</v>
      </c>
      <c r="G106" s="3">
        <v>5</v>
      </c>
      <c r="H106" s="3">
        <v>5</v>
      </c>
      <c r="I106" s="3">
        <v>5</v>
      </c>
      <c r="J106" s="3">
        <v>5</v>
      </c>
      <c r="K106" s="3">
        <v>5</v>
      </c>
      <c r="L106" s="3">
        <v>5</v>
      </c>
      <c r="M106" s="3">
        <v>5</v>
      </c>
    </row>
    <row r="107" spans="1:13">
      <c r="A107" t="s">
        <v>1</v>
      </c>
      <c r="B107" t="s">
        <v>2</v>
      </c>
      <c r="C107" t="s">
        <v>198</v>
      </c>
      <c r="D107" t="s">
        <v>3</v>
      </c>
      <c r="E107" t="s">
        <v>12</v>
      </c>
      <c r="F107" s="2">
        <v>45174</v>
      </c>
      <c r="G107" s="3">
        <v>5</v>
      </c>
      <c r="H107" s="3">
        <v>5</v>
      </c>
      <c r="I107" s="3">
        <v>5</v>
      </c>
      <c r="J107" s="3">
        <v>5</v>
      </c>
      <c r="K107" s="3">
        <v>5</v>
      </c>
      <c r="L107" s="3">
        <v>5</v>
      </c>
      <c r="M107" s="3">
        <v>5</v>
      </c>
    </row>
    <row r="108" spans="1:13">
      <c r="A108" t="s">
        <v>87</v>
      </c>
      <c r="B108" t="s">
        <v>2</v>
      </c>
      <c r="C108" t="s">
        <v>198</v>
      </c>
      <c r="D108" t="s">
        <v>3</v>
      </c>
      <c r="E108" t="s">
        <v>49</v>
      </c>
      <c r="F108" s="2">
        <v>45047</v>
      </c>
      <c r="G108" s="3">
        <v>4</v>
      </c>
      <c r="H108" s="3">
        <v>5</v>
      </c>
      <c r="I108" s="3">
        <v>3</v>
      </c>
      <c r="J108" s="3">
        <v>4</v>
      </c>
      <c r="K108" s="3">
        <v>5</v>
      </c>
      <c r="L108" s="3">
        <v>4</v>
      </c>
      <c r="M108" s="3">
        <v>3</v>
      </c>
    </row>
    <row r="109" spans="1:13">
      <c r="A109" t="s">
        <v>88</v>
      </c>
      <c r="B109" t="s">
        <v>2</v>
      </c>
      <c r="C109" t="s">
        <v>198</v>
      </c>
      <c r="D109" t="s">
        <v>3</v>
      </c>
      <c r="E109" t="s">
        <v>20</v>
      </c>
      <c r="F109" s="2">
        <v>45018</v>
      </c>
      <c r="G109" s="3">
        <v>4</v>
      </c>
      <c r="H109" s="3">
        <v>5</v>
      </c>
      <c r="I109" s="3">
        <v>3</v>
      </c>
      <c r="J109" s="3">
        <v>3</v>
      </c>
      <c r="K109" s="3">
        <v>5</v>
      </c>
      <c r="L109" s="3">
        <v>5</v>
      </c>
      <c r="M109" s="3">
        <v>1</v>
      </c>
    </row>
    <row r="110" spans="1:13">
      <c r="A110" t="s">
        <v>548</v>
      </c>
      <c r="B110" t="s">
        <v>2</v>
      </c>
      <c r="C110" t="s">
        <v>198</v>
      </c>
      <c r="D110" t="s">
        <v>3</v>
      </c>
      <c r="E110" t="s">
        <v>43</v>
      </c>
      <c r="F110" s="2">
        <v>45111</v>
      </c>
      <c r="G110" s="3">
        <v>4</v>
      </c>
      <c r="H110" s="3">
        <v>4</v>
      </c>
      <c r="I110" s="3">
        <v>3</v>
      </c>
      <c r="J110" s="3">
        <v>3</v>
      </c>
      <c r="K110" s="3">
        <v>5</v>
      </c>
      <c r="L110" s="3">
        <v>4</v>
      </c>
      <c r="M110" s="3">
        <v>3</v>
      </c>
    </row>
    <row r="111" spans="1:13">
      <c r="A111" t="s">
        <v>28</v>
      </c>
      <c r="B111" t="s">
        <v>522</v>
      </c>
      <c r="C111" t="s">
        <v>586</v>
      </c>
      <c r="D111" t="s">
        <v>3</v>
      </c>
      <c r="E111" t="s">
        <v>63</v>
      </c>
      <c r="F111" s="2">
        <v>45086</v>
      </c>
      <c r="G111" s="3">
        <v>5</v>
      </c>
      <c r="H111" s="3">
        <v>5</v>
      </c>
      <c r="I111" s="3">
        <v>5</v>
      </c>
      <c r="J111" s="3">
        <v>5</v>
      </c>
      <c r="K111" s="3">
        <v>5</v>
      </c>
      <c r="L111" s="3">
        <v>5</v>
      </c>
      <c r="M111" s="3">
        <v>5</v>
      </c>
    </row>
    <row r="112" spans="1:13">
      <c r="A112" t="s">
        <v>1</v>
      </c>
      <c r="B112" t="s">
        <v>2</v>
      </c>
      <c r="C112" t="s">
        <v>198</v>
      </c>
      <c r="D112" t="s">
        <v>3</v>
      </c>
      <c r="E112" t="s">
        <v>26</v>
      </c>
      <c r="F112" s="2">
        <v>45050</v>
      </c>
      <c r="G112" s="3">
        <v>5</v>
      </c>
      <c r="H112" s="3">
        <v>5</v>
      </c>
      <c r="I112" s="3">
        <v>5</v>
      </c>
      <c r="J112" s="3">
        <v>5</v>
      </c>
      <c r="K112" s="3">
        <v>5</v>
      </c>
      <c r="L112" s="3">
        <v>5</v>
      </c>
      <c r="M112" s="3">
        <v>5</v>
      </c>
    </row>
    <row r="113" spans="1:13">
      <c r="A113" t="s">
        <v>28</v>
      </c>
      <c r="B113" t="s">
        <v>2</v>
      </c>
      <c r="C113" t="s">
        <v>198</v>
      </c>
      <c r="D113" t="s">
        <v>3</v>
      </c>
      <c r="E113" t="s">
        <v>79</v>
      </c>
      <c r="F113" s="2">
        <v>44986</v>
      </c>
      <c r="G113" s="3">
        <v>2</v>
      </c>
      <c r="H113" s="3">
        <v>4</v>
      </c>
      <c r="I113" s="3">
        <v>2</v>
      </c>
      <c r="J113" s="3">
        <v>2</v>
      </c>
      <c r="K113" s="3">
        <v>4</v>
      </c>
      <c r="L113" s="3">
        <v>1</v>
      </c>
      <c r="M113" s="3">
        <v>1</v>
      </c>
    </row>
    <row r="114" spans="1:13">
      <c r="A114" t="s">
        <v>644</v>
      </c>
      <c r="B114" t="s">
        <v>2</v>
      </c>
      <c r="C114" t="s">
        <v>198</v>
      </c>
      <c r="D114" t="s">
        <v>3</v>
      </c>
      <c r="E114" t="s">
        <v>15</v>
      </c>
      <c r="F114" s="2">
        <v>45021</v>
      </c>
      <c r="G114" s="3">
        <v>4</v>
      </c>
      <c r="H114" s="3">
        <v>4</v>
      </c>
      <c r="I114" s="3">
        <v>4</v>
      </c>
      <c r="J114" s="3">
        <v>4</v>
      </c>
      <c r="K114" s="3">
        <v>4</v>
      </c>
      <c r="L114" s="3">
        <v>4</v>
      </c>
      <c r="M114" s="3">
        <v>4</v>
      </c>
    </row>
    <row r="115" spans="1:13">
      <c r="A115" t="s">
        <v>11</v>
      </c>
      <c r="B115" t="s">
        <v>50</v>
      </c>
      <c r="C115" t="s">
        <v>50</v>
      </c>
      <c r="D115" t="s">
        <v>3</v>
      </c>
      <c r="E115" t="s">
        <v>26</v>
      </c>
      <c r="F115" s="2">
        <v>45052</v>
      </c>
      <c r="G115" s="3">
        <v>5</v>
      </c>
      <c r="H115" s="3">
        <v>5</v>
      </c>
      <c r="I115" s="3">
        <v>5</v>
      </c>
      <c r="J115" s="3">
        <v>5</v>
      </c>
      <c r="K115" s="3">
        <v>5</v>
      </c>
      <c r="L115" s="3">
        <v>5</v>
      </c>
      <c r="M115" s="3">
        <v>5</v>
      </c>
    </row>
    <row r="116" spans="1:13">
      <c r="A116" t="s">
        <v>89</v>
      </c>
      <c r="B116" t="s">
        <v>523</v>
      </c>
      <c r="C116" t="s">
        <v>581</v>
      </c>
      <c r="D116" t="s">
        <v>3</v>
      </c>
      <c r="E116" t="s">
        <v>619</v>
      </c>
      <c r="F116" s="2">
        <v>45047</v>
      </c>
      <c r="G116" s="3">
        <v>4</v>
      </c>
      <c r="H116" s="3">
        <v>5</v>
      </c>
      <c r="I116" s="3">
        <v>5</v>
      </c>
      <c r="J116" s="3">
        <v>4</v>
      </c>
      <c r="K116" s="3">
        <v>5</v>
      </c>
      <c r="L116" s="3">
        <v>5</v>
      </c>
      <c r="M116" s="3">
        <v>3</v>
      </c>
    </row>
    <row r="117" spans="1:13">
      <c r="A117" t="s">
        <v>645</v>
      </c>
      <c r="B117" t="s">
        <v>2</v>
      </c>
      <c r="C117" t="s">
        <v>198</v>
      </c>
      <c r="D117" t="s">
        <v>3</v>
      </c>
      <c r="E117" t="s">
        <v>15</v>
      </c>
      <c r="F117" s="2">
        <v>45080</v>
      </c>
      <c r="G117" s="3">
        <v>4</v>
      </c>
      <c r="H117" s="3">
        <v>5</v>
      </c>
      <c r="I117" s="3">
        <v>4</v>
      </c>
      <c r="J117" s="3">
        <v>4</v>
      </c>
      <c r="K117" s="3">
        <v>5</v>
      </c>
      <c r="L117" s="3">
        <v>4</v>
      </c>
      <c r="M117" s="3">
        <v>3</v>
      </c>
    </row>
    <row r="118" spans="1:13">
      <c r="A118" t="s">
        <v>90</v>
      </c>
      <c r="B118" t="s">
        <v>2</v>
      </c>
      <c r="C118" t="s">
        <v>198</v>
      </c>
      <c r="D118" t="s">
        <v>3</v>
      </c>
      <c r="E118" t="s">
        <v>15</v>
      </c>
      <c r="F118" s="2">
        <v>45049</v>
      </c>
      <c r="G118" s="3">
        <v>3</v>
      </c>
      <c r="H118" s="3">
        <v>3</v>
      </c>
      <c r="I118" s="3">
        <v>2</v>
      </c>
      <c r="J118" s="3">
        <v>2</v>
      </c>
      <c r="K118" s="3">
        <v>5</v>
      </c>
      <c r="L118" s="3">
        <v>2</v>
      </c>
      <c r="M118" s="3">
        <v>2</v>
      </c>
    </row>
    <row r="119" spans="1:13">
      <c r="A119" t="s">
        <v>91</v>
      </c>
      <c r="B119" t="s">
        <v>524</v>
      </c>
      <c r="C119" t="s">
        <v>580</v>
      </c>
      <c r="D119" t="s">
        <v>3</v>
      </c>
      <c r="E119" t="s">
        <v>92</v>
      </c>
      <c r="F119" s="2">
        <v>45052</v>
      </c>
      <c r="G119" s="3">
        <v>4</v>
      </c>
      <c r="H119" s="3">
        <v>4</v>
      </c>
      <c r="I119" s="3">
        <v>5</v>
      </c>
      <c r="J119" s="3">
        <v>4</v>
      </c>
      <c r="K119" s="3">
        <v>3</v>
      </c>
      <c r="L119" s="3">
        <v>3</v>
      </c>
      <c r="M119" s="3">
        <v>3</v>
      </c>
    </row>
    <row r="120" spans="1:13">
      <c r="A120" t="s">
        <v>538</v>
      </c>
      <c r="B120" t="s">
        <v>304</v>
      </c>
      <c r="C120" t="s">
        <v>579</v>
      </c>
      <c r="D120" t="s">
        <v>3</v>
      </c>
      <c r="E120" t="s">
        <v>93</v>
      </c>
      <c r="F120" s="2">
        <v>45085</v>
      </c>
      <c r="G120" s="3">
        <v>3</v>
      </c>
      <c r="H120" s="3">
        <v>5</v>
      </c>
      <c r="I120" s="3">
        <v>5</v>
      </c>
      <c r="J120" s="3">
        <v>5</v>
      </c>
      <c r="K120" s="3">
        <v>3</v>
      </c>
      <c r="L120" s="3">
        <v>3</v>
      </c>
      <c r="M120" s="3">
        <v>5</v>
      </c>
    </row>
    <row r="121" spans="1:13">
      <c r="A121" t="s">
        <v>94</v>
      </c>
      <c r="B121" t="s">
        <v>82</v>
      </c>
      <c r="C121" t="s">
        <v>566</v>
      </c>
      <c r="D121" t="s">
        <v>3</v>
      </c>
      <c r="E121" t="s">
        <v>34</v>
      </c>
      <c r="F121" s="2">
        <v>45019</v>
      </c>
      <c r="G121" s="3">
        <v>3</v>
      </c>
      <c r="H121" s="3">
        <v>3</v>
      </c>
      <c r="I121" s="3">
        <v>4</v>
      </c>
      <c r="J121" s="3">
        <v>3</v>
      </c>
      <c r="K121" s="3">
        <v>4</v>
      </c>
      <c r="L121" s="3">
        <v>4</v>
      </c>
      <c r="M121" s="3">
        <v>4</v>
      </c>
    </row>
    <row r="122" spans="1:13">
      <c r="A122" t="s">
        <v>1</v>
      </c>
      <c r="B122" t="s">
        <v>2</v>
      </c>
      <c r="C122" t="s">
        <v>198</v>
      </c>
      <c r="D122" t="s">
        <v>3</v>
      </c>
      <c r="E122" t="s">
        <v>20</v>
      </c>
      <c r="F122" s="2">
        <v>45052</v>
      </c>
      <c r="G122" s="3">
        <v>3</v>
      </c>
      <c r="H122" s="3">
        <v>3</v>
      </c>
      <c r="I122" s="3">
        <v>3</v>
      </c>
      <c r="J122" s="3">
        <v>3</v>
      </c>
      <c r="K122" s="3">
        <v>3</v>
      </c>
      <c r="L122" s="3">
        <v>3</v>
      </c>
      <c r="M122" s="3">
        <v>3</v>
      </c>
    </row>
    <row r="123" spans="1:13">
      <c r="A123" t="s">
        <v>95</v>
      </c>
      <c r="B123" t="s">
        <v>2</v>
      </c>
      <c r="C123" t="s">
        <v>198</v>
      </c>
      <c r="D123" t="s">
        <v>3</v>
      </c>
      <c r="E123" t="s">
        <v>638</v>
      </c>
      <c r="F123" s="2">
        <v>44986</v>
      </c>
      <c r="G123" s="3">
        <v>4</v>
      </c>
      <c r="H123" s="3">
        <v>4</v>
      </c>
      <c r="I123" s="3">
        <v>5</v>
      </c>
      <c r="J123" s="3">
        <v>4</v>
      </c>
      <c r="K123" s="3">
        <v>5</v>
      </c>
      <c r="L123" s="3">
        <v>4</v>
      </c>
      <c r="M123" s="3">
        <v>4</v>
      </c>
    </row>
    <row r="124" spans="1:13">
      <c r="A124" t="s">
        <v>96</v>
      </c>
      <c r="B124" t="s">
        <v>2</v>
      </c>
      <c r="C124" t="s">
        <v>198</v>
      </c>
      <c r="D124" t="s">
        <v>3</v>
      </c>
      <c r="E124" t="s">
        <v>97</v>
      </c>
      <c r="F124" s="2">
        <v>45022</v>
      </c>
      <c r="G124" s="3">
        <v>5</v>
      </c>
      <c r="H124" s="3">
        <v>5</v>
      </c>
      <c r="I124" s="3">
        <v>5</v>
      </c>
      <c r="J124" s="3">
        <v>5</v>
      </c>
      <c r="K124" s="3">
        <v>5</v>
      </c>
      <c r="L124" s="3">
        <v>5</v>
      </c>
      <c r="M124" s="3">
        <v>5</v>
      </c>
    </row>
    <row r="125" spans="1:13">
      <c r="A125" t="s">
        <v>557</v>
      </c>
      <c r="B125" t="s">
        <v>2</v>
      </c>
      <c r="C125" t="s">
        <v>198</v>
      </c>
      <c r="D125" t="s">
        <v>3</v>
      </c>
      <c r="E125" t="s">
        <v>12</v>
      </c>
      <c r="F125" s="2">
        <v>44992</v>
      </c>
      <c r="G125" s="3">
        <v>4</v>
      </c>
      <c r="H125" s="3">
        <v>4</v>
      </c>
      <c r="I125" s="3">
        <v>4</v>
      </c>
      <c r="J125" s="3">
        <v>1</v>
      </c>
      <c r="K125" s="3">
        <v>5</v>
      </c>
      <c r="L125" s="3">
        <v>4</v>
      </c>
      <c r="M125" s="3">
        <v>1</v>
      </c>
    </row>
    <row r="126" spans="1:13">
      <c r="A126" t="s">
        <v>98</v>
      </c>
      <c r="B126" t="s">
        <v>2</v>
      </c>
      <c r="C126" t="s">
        <v>198</v>
      </c>
      <c r="D126" t="s">
        <v>3</v>
      </c>
      <c r="E126" t="s">
        <v>12</v>
      </c>
      <c r="F126" s="2">
        <v>45047</v>
      </c>
      <c r="G126" s="3">
        <v>5</v>
      </c>
      <c r="H126" s="3">
        <v>4</v>
      </c>
      <c r="I126" s="3">
        <v>5</v>
      </c>
      <c r="J126" s="3">
        <v>3</v>
      </c>
      <c r="K126" s="3">
        <v>5</v>
      </c>
      <c r="L126" s="3">
        <v>5</v>
      </c>
      <c r="M126" s="3">
        <v>2</v>
      </c>
    </row>
    <row r="127" spans="1:13">
      <c r="A127" t="s">
        <v>1</v>
      </c>
      <c r="B127" t="s">
        <v>2</v>
      </c>
      <c r="C127" t="s">
        <v>198</v>
      </c>
      <c r="D127" t="s">
        <v>3</v>
      </c>
      <c r="E127" t="s">
        <v>99</v>
      </c>
      <c r="F127" s="2">
        <v>45020</v>
      </c>
      <c r="G127" s="3">
        <v>4</v>
      </c>
      <c r="H127" s="3">
        <v>4</v>
      </c>
      <c r="I127" s="3">
        <v>3</v>
      </c>
      <c r="J127" s="3">
        <v>3</v>
      </c>
      <c r="K127" s="3">
        <v>4</v>
      </c>
      <c r="L127" s="3">
        <v>4</v>
      </c>
      <c r="M127" s="3">
        <v>3</v>
      </c>
    </row>
    <row r="128" spans="1:13">
      <c r="A128" t="s">
        <v>100</v>
      </c>
      <c r="B128" t="s">
        <v>2</v>
      </c>
      <c r="C128" t="s">
        <v>198</v>
      </c>
      <c r="D128" t="s">
        <v>3</v>
      </c>
      <c r="E128" t="s">
        <v>15</v>
      </c>
      <c r="F128" s="2">
        <v>45086</v>
      </c>
      <c r="G128" s="3">
        <v>5</v>
      </c>
      <c r="H128" s="3">
        <v>3</v>
      </c>
      <c r="I128" s="3">
        <v>4</v>
      </c>
      <c r="J128" s="3">
        <v>4</v>
      </c>
      <c r="K128" s="3">
        <v>5</v>
      </c>
      <c r="L128" s="3">
        <v>4</v>
      </c>
      <c r="M128" s="3">
        <v>3</v>
      </c>
    </row>
    <row r="129" spans="1:13">
      <c r="A129" t="s">
        <v>1</v>
      </c>
      <c r="B129" t="s">
        <v>2</v>
      </c>
      <c r="C129" t="s">
        <v>198</v>
      </c>
      <c r="D129" t="s">
        <v>3</v>
      </c>
      <c r="E129" t="s">
        <v>20</v>
      </c>
      <c r="F129" s="2">
        <v>44991</v>
      </c>
      <c r="G129" s="3">
        <v>5</v>
      </c>
      <c r="H129" s="3">
        <v>5</v>
      </c>
      <c r="I129" s="3">
        <v>4</v>
      </c>
      <c r="J129" s="3">
        <v>3</v>
      </c>
      <c r="K129" s="3">
        <v>5</v>
      </c>
      <c r="L129" s="3">
        <v>4</v>
      </c>
      <c r="M129" s="3">
        <v>3</v>
      </c>
    </row>
    <row r="130" spans="1:13">
      <c r="A130" t="s">
        <v>101</v>
      </c>
      <c r="B130" t="s">
        <v>132</v>
      </c>
      <c r="C130" t="s">
        <v>358</v>
      </c>
      <c r="D130" t="s">
        <v>3</v>
      </c>
      <c r="E130" t="s">
        <v>12</v>
      </c>
      <c r="F130" s="2">
        <v>45143</v>
      </c>
      <c r="G130" s="3">
        <v>5</v>
      </c>
      <c r="H130" s="3">
        <v>5</v>
      </c>
      <c r="I130" s="3">
        <v>5</v>
      </c>
      <c r="J130" s="3">
        <v>3</v>
      </c>
      <c r="K130" s="3">
        <v>5</v>
      </c>
      <c r="L130" s="3">
        <v>5</v>
      </c>
      <c r="M130" s="3">
        <v>4</v>
      </c>
    </row>
    <row r="131" spans="1:13">
      <c r="A131" t="s">
        <v>646</v>
      </c>
      <c r="B131" t="s">
        <v>2</v>
      </c>
      <c r="C131" t="s">
        <v>198</v>
      </c>
      <c r="D131" t="s">
        <v>3</v>
      </c>
      <c r="E131" t="s">
        <v>26</v>
      </c>
      <c r="F131" s="2">
        <v>45047</v>
      </c>
      <c r="G131" s="3">
        <v>5</v>
      </c>
      <c r="H131" s="3">
        <v>5</v>
      </c>
      <c r="I131" s="3">
        <v>4</v>
      </c>
      <c r="J131" s="3">
        <v>4</v>
      </c>
      <c r="K131" s="3">
        <v>4</v>
      </c>
      <c r="L131" s="3">
        <v>5</v>
      </c>
      <c r="M131" s="3">
        <v>4</v>
      </c>
    </row>
    <row r="132" spans="1:13">
      <c r="A132" t="s">
        <v>1</v>
      </c>
      <c r="B132" t="s">
        <v>2</v>
      </c>
      <c r="C132" t="s">
        <v>198</v>
      </c>
      <c r="D132" t="s">
        <v>3</v>
      </c>
      <c r="E132" t="s">
        <v>23</v>
      </c>
      <c r="F132" s="2">
        <v>45139</v>
      </c>
      <c r="G132" s="3">
        <v>4</v>
      </c>
      <c r="H132" s="3">
        <v>4</v>
      </c>
      <c r="I132" s="3">
        <v>3</v>
      </c>
      <c r="J132" s="3">
        <v>2</v>
      </c>
      <c r="K132" s="3">
        <v>5</v>
      </c>
      <c r="L132" s="3">
        <v>4</v>
      </c>
      <c r="M132" s="3">
        <v>2</v>
      </c>
    </row>
    <row r="133" spans="1:13">
      <c r="A133" t="s">
        <v>102</v>
      </c>
      <c r="B133" t="s">
        <v>2</v>
      </c>
      <c r="C133" t="s">
        <v>198</v>
      </c>
      <c r="D133" t="s">
        <v>3</v>
      </c>
      <c r="E133" t="s">
        <v>52</v>
      </c>
      <c r="F133" s="2">
        <v>45052</v>
      </c>
      <c r="G133" s="3">
        <v>2</v>
      </c>
      <c r="H133" s="3">
        <v>3</v>
      </c>
      <c r="I133" s="3">
        <v>1</v>
      </c>
      <c r="J133" s="3">
        <v>2</v>
      </c>
      <c r="K133" s="3">
        <v>4</v>
      </c>
      <c r="L133" s="3">
        <v>1</v>
      </c>
      <c r="M133" s="3">
        <v>1</v>
      </c>
    </row>
    <row r="134" spans="1:13">
      <c r="A134" t="s">
        <v>1</v>
      </c>
      <c r="B134" t="s">
        <v>2</v>
      </c>
      <c r="C134" t="s">
        <v>198</v>
      </c>
      <c r="D134" t="s">
        <v>3</v>
      </c>
      <c r="E134" t="s">
        <v>20</v>
      </c>
      <c r="F134" s="2">
        <v>45109</v>
      </c>
      <c r="G134" s="3">
        <v>4</v>
      </c>
      <c r="H134" s="3">
        <v>3</v>
      </c>
      <c r="I134" s="3">
        <v>3</v>
      </c>
      <c r="J134" s="3">
        <v>3</v>
      </c>
      <c r="K134" s="3">
        <v>4</v>
      </c>
      <c r="L134" s="3">
        <v>3</v>
      </c>
      <c r="M134" s="3">
        <v>3</v>
      </c>
    </row>
    <row r="135" spans="1:13">
      <c r="A135" t="s">
        <v>103</v>
      </c>
      <c r="B135" t="s">
        <v>2</v>
      </c>
      <c r="C135" t="s">
        <v>198</v>
      </c>
      <c r="D135" t="s">
        <v>3</v>
      </c>
      <c r="E135" t="s">
        <v>15</v>
      </c>
      <c r="F135" s="2">
        <v>45049</v>
      </c>
      <c r="G135" s="3">
        <v>5</v>
      </c>
      <c r="H135" s="3">
        <v>5</v>
      </c>
      <c r="I135" s="3">
        <v>5</v>
      </c>
      <c r="J135" s="3">
        <v>4</v>
      </c>
      <c r="K135" s="3">
        <v>5</v>
      </c>
      <c r="L135" s="3">
        <v>5</v>
      </c>
      <c r="M135" s="3">
        <v>4</v>
      </c>
    </row>
    <row r="136" spans="1:13">
      <c r="A136" t="s">
        <v>7</v>
      </c>
      <c r="B136" t="s">
        <v>78</v>
      </c>
      <c r="C136" t="s">
        <v>569</v>
      </c>
      <c r="D136" t="s">
        <v>3</v>
      </c>
      <c r="E136" t="s">
        <v>59</v>
      </c>
      <c r="F136" s="2">
        <v>45176</v>
      </c>
      <c r="G136" s="3">
        <v>5</v>
      </c>
      <c r="H136" s="3">
        <v>5</v>
      </c>
      <c r="I136" s="3">
        <v>5</v>
      </c>
      <c r="J136" s="3">
        <v>5</v>
      </c>
      <c r="K136" s="3">
        <v>5</v>
      </c>
      <c r="L136" s="3">
        <v>5</v>
      </c>
      <c r="M136" s="3">
        <v>5</v>
      </c>
    </row>
    <row r="137" spans="1:13">
      <c r="A137" t="s">
        <v>1</v>
      </c>
      <c r="B137" t="s">
        <v>2</v>
      </c>
      <c r="C137" t="s">
        <v>198</v>
      </c>
      <c r="D137" t="s">
        <v>3</v>
      </c>
      <c r="E137" t="s">
        <v>12</v>
      </c>
      <c r="F137" s="2">
        <v>45055</v>
      </c>
      <c r="G137" s="3">
        <v>1</v>
      </c>
      <c r="H137" s="3">
        <v>1</v>
      </c>
      <c r="I137" s="3">
        <v>3</v>
      </c>
      <c r="J137" s="3">
        <v>1</v>
      </c>
      <c r="K137" s="3">
        <v>4</v>
      </c>
      <c r="L137" s="3">
        <v>1</v>
      </c>
      <c r="M137" s="3">
        <v>1</v>
      </c>
    </row>
    <row r="138" spans="1:13">
      <c r="A138" t="s">
        <v>554</v>
      </c>
      <c r="B138" t="s">
        <v>2</v>
      </c>
      <c r="C138" t="s">
        <v>198</v>
      </c>
      <c r="D138" t="s">
        <v>3</v>
      </c>
      <c r="E138" t="s">
        <v>53</v>
      </c>
      <c r="F138" s="2">
        <v>45113</v>
      </c>
      <c r="G138" s="3">
        <v>2</v>
      </c>
      <c r="H138" s="3">
        <v>3</v>
      </c>
      <c r="I138" s="3">
        <v>5</v>
      </c>
      <c r="J138" s="3">
        <v>4</v>
      </c>
      <c r="K138" s="3">
        <v>3</v>
      </c>
      <c r="L138" s="3">
        <v>5</v>
      </c>
      <c r="M138" s="3">
        <v>5</v>
      </c>
    </row>
    <row r="139" spans="1:13">
      <c r="A139" t="s">
        <v>1</v>
      </c>
      <c r="B139" t="s">
        <v>2</v>
      </c>
      <c r="C139" t="s">
        <v>198</v>
      </c>
      <c r="D139" t="s">
        <v>3</v>
      </c>
      <c r="E139" t="s">
        <v>12</v>
      </c>
      <c r="F139" s="2">
        <v>44960</v>
      </c>
      <c r="G139" s="3">
        <v>4</v>
      </c>
      <c r="H139" s="3">
        <v>4</v>
      </c>
      <c r="I139" s="3">
        <v>4</v>
      </c>
      <c r="J139" s="3">
        <v>3</v>
      </c>
      <c r="K139" s="3">
        <v>5</v>
      </c>
      <c r="L139" s="3">
        <v>4</v>
      </c>
      <c r="M139" s="3">
        <v>3</v>
      </c>
    </row>
    <row r="140" spans="1:13">
      <c r="A140" t="s">
        <v>77</v>
      </c>
      <c r="B140" t="s">
        <v>2</v>
      </c>
      <c r="C140" t="s">
        <v>198</v>
      </c>
      <c r="D140" t="s">
        <v>3</v>
      </c>
      <c r="E140" t="s">
        <v>20</v>
      </c>
      <c r="F140" s="2">
        <v>45085</v>
      </c>
      <c r="G140" s="3">
        <v>5</v>
      </c>
      <c r="H140" s="3">
        <v>5</v>
      </c>
      <c r="I140" s="3">
        <v>5</v>
      </c>
      <c r="J140" s="3">
        <v>3</v>
      </c>
      <c r="K140" s="3">
        <v>5</v>
      </c>
      <c r="L140" s="3">
        <v>5</v>
      </c>
      <c r="M140" s="3">
        <v>2</v>
      </c>
    </row>
    <row r="141" spans="1:13">
      <c r="A141" t="s">
        <v>104</v>
      </c>
      <c r="B141" t="s">
        <v>2</v>
      </c>
      <c r="C141" t="s">
        <v>198</v>
      </c>
      <c r="D141" t="s">
        <v>3</v>
      </c>
      <c r="E141" t="s">
        <v>79</v>
      </c>
      <c r="F141" s="2">
        <v>45022</v>
      </c>
      <c r="G141" s="3">
        <v>4</v>
      </c>
      <c r="H141" s="3">
        <v>5</v>
      </c>
      <c r="I141" s="3">
        <v>4</v>
      </c>
      <c r="J141" s="3">
        <v>3</v>
      </c>
      <c r="K141" s="3">
        <v>5</v>
      </c>
      <c r="L141" s="3">
        <v>4</v>
      </c>
      <c r="M141" s="3">
        <v>3</v>
      </c>
    </row>
    <row r="142" spans="1:13">
      <c r="A142" t="s">
        <v>557</v>
      </c>
      <c r="B142" t="s">
        <v>2</v>
      </c>
      <c r="C142" t="s">
        <v>198</v>
      </c>
      <c r="D142" t="s">
        <v>3</v>
      </c>
      <c r="E142" t="s">
        <v>26</v>
      </c>
      <c r="F142" s="2">
        <v>45143</v>
      </c>
      <c r="G142" s="3">
        <v>2</v>
      </c>
      <c r="H142" s="3">
        <v>3</v>
      </c>
      <c r="I142" s="3">
        <v>2</v>
      </c>
      <c r="J142" s="3">
        <v>1</v>
      </c>
      <c r="K142" s="3">
        <v>3</v>
      </c>
      <c r="L142" s="3">
        <v>2</v>
      </c>
      <c r="M142" s="3">
        <v>1</v>
      </c>
    </row>
    <row r="143" spans="1:13">
      <c r="A143" t="s">
        <v>557</v>
      </c>
      <c r="B143" t="s">
        <v>525</v>
      </c>
      <c r="C143" t="s">
        <v>569</v>
      </c>
      <c r="D143" t="s">
        <v>3</v>
      </c>
      <c r="E143" t="s">
        <v>26</v>
      </c>
      <c r="F143" s="2">
        <v>44965</v>
      </c>
      <c r="G143" s="3">
        <v>4</v>
      </c>
      <c r="H143" s="3">
        <v>4</v>
      </c>
      <c r="I143" s="3">
        <v>5</v>
      </c>
      <c r="J143" s="3">
        <v>4</v>
      </c>
      <c r="K143" s="3">
        <v>4</v>
      </c>
      <c r="L143" s="3">
        <v>4</v>
      </c>
      <c r="M143" s="3">
        <v>4</v>
      </c>
    </row>
    <row r="144" spans="1:13">
      <c r="A144" t="s">
        <v>1</v>
      </c>
      <c r="B144" t="s">
        <v>2</v>
      </c>
      <c r="C144" t="s">
        <v>198</v>
      </c>
      <c r="D144" t="s">
        <v>3</v>
      </c>
      <c r="E144" t="s">
        <v>26</v>
      </c>
      <c r="F144" s="2">
        <v>45048</v>
      </c>
      <c r="G144" s="3">
        <v>4</v>
      </c>
      <c r="H144" s="3">
        <v>4</v>
      </c>
      <c r="I144" s="3">
        <v>4</v>
      </c>
      <c r="J144" s="3">
        <v>5</v>
      </c>
      <c r="K144" s="3">
        <v>5</v>
      </c>
      <c r="L144" s="3">
        <v>5</v>
      </c>
      <c r="M144" s="3">
        <v>4</v>
      </c>
    </row>
    <row r="145" spans="1:13">
      <c r="A145" t="s">
        <v>105</v>
      </c>
      <c r="B145" t="s">
        <v>558</v>
      </c>
      <c r="C145" t="s">
        <v>558</v>
      </c>
      <c r="D145" t="s">
        <v>3</v>
      </c>
      <c r="E145" t="s">
        <v>20</v>
      </c>
      <c r="F145" s="2">
        <v>45017</v>
      </c>
      <c r="G145" s="3">
        <v>5</v>
      </c>
      <c r="H145" s="3">
        <v>5</v>
      </c>
      <c r="I145" s="3">
        <v>5</v>
      </c>
      <c r="J145" s="3">
        <v>4</v>
      </c>
      <c r="K145" s="3">
        <v>5</v>
      </c>
      <c r="L145" s="3">
        <v>5</v>
      </c>
      <c r="M145" s="3">
        <v>3</v>
      </c>
    </row>
    <row r="146" spans="1:13">
      <c r="A146" t="s">
        <v>107</v>
      </c>
      <c r="B146" t="s">
        <v>2</v>
      </c>
      <c r="C146" t="s">
        <v>198</v>
      </c>
      <c r="D146" t="s">
        <v>3</v>
      </c>
      <c r="E146" t="s">
        <v>4</v>
      </c>
      <c r="F146" s="2">
        <v>44986</v>
      </c>
      <c r="G146" s="3">
        <v>5</v>
      </c>
      <c r="H146" s="3">
        <v>4</v>
      </c>
      <c r="I146" s="3">
        <v>5</v>
      </c>
      <c r="J146" s="3">
        <v>4</v>
      </c>
      <c r="K146" s="3">
        <v>5</v>
      </c>
      <c r="L146" s="3">
        <v>5</v>
      </c>
      <c r="M146" s="3">
        <v>5</v>
      </c>
    </row>
    <row r="147" spans="1:13">
      <c r="A147" t="s">
        <v>81</v>
      </c>
      <c r="B147" t="s">
        <v>2</v>
      </c>
      <c r="C147" t="s">
        <v>198</v>
      </c>
      <c r="D147" t="s">
        <v>3</v>
      </c>
      <c r="E147" t="s">
        <v>15</v>
      </c>
      <c r="F147" s="2">
        <v>45025</v>
      </c>
      <c r="G147" s="3">
        <v>4</v>
      </c>
      <c r="H147" s="3">
        <v>4</v>
      </c>
      <c r="I147" s="3">
        <v>4</v>
      </c>
      <c r="J147" s="3">
        <v>2</v>
      </c>
      <c r="K147" s="3">
        <v>5</v>
      </c>
      <c r="L147" s="3">
        <v>4</v>
      </c>
      <c r="M147" s="3">
        <v>2</v>
      </c>
    </row>
    <row r="148" spans="1:13">
      <c r="A148" t="s">
        <v>245</v>
      </c>
      <c r="B148" t="s">
        <v>50</v>
      </c>
      <c r="C148" t="s">
        <v>50</v>
      </c>
      <c r="D148" t="s">
        <v>3</v>
      </c>
      <c r="E148" t="s">
        <v>15</v>
      </c>
      <c r="F148" s="2">
        <v>45084</v>
      </c>
      <c r="G148" s="3">
        <v>5</v>
      </c>
      <c r="H148" s="3">
        <v>5</v>
      </c>
      <c r="I148" s="3">
        <v>5</v>
      </c>
      <c r="J148" s="3">
        <v>5</v>
      </c>
      <c r="K148" s="3">
        <v>5</v>
      </c>
      <c r="L148" s="3">
        <v>5</v>
      </c>
      <c r="M148" s="3">
        <v>5</v>
      </c>
    </row>
    <row r="149" spans="1:13">
      <c r="A149" t="s">
        <v>7</v>
      </c>
      <c r="B149" t="s">
        <v>318</v>
      </c>
      <c r="C149" t="s">
        <v>358</v>
      </c>
      <c r="D149" t="s">
        <v>3</v>
      </c>
      <c r="E149" t="s">
        <v>638</v>
      </c>
      <c r="F149" s="2">
        <v>45170</v>
      </c>
      <c r="G149" s="3">
        <v>4</v>
      </c>
      <c r="H149" s="3">
        <v>1</v>
      </c>
      <c r="I149" s="3">
        <v>5</v>
      </c>
      <c r="J149" s="3">
        <v>5</v>
      </c>
      <c r="K149" s="3">
        <v>4</v>
      </c>
      <c r="L149" s="3">
        <v>5</v>
      </c>
      <c r="M149" s="3">
        <v>1</v>
      </c>
    </row>
    <row r="150" spans="1:13">
      <c r="A150" t="s">
        <v>30</v>
      </c>
      <c r="B150" t="s">
        <v>2</v>
      </c>
      <c r="C150" t="s">
        <v>198</v>
      </c>
      <c r="D150" t="s">
        <v>3</v>
      </c>
      <c r="E150" t="s">
        <v>12</v>
      </c>
      <c r="F150" s="2">
        <v>45050</v>
      </c>
      <c r="G150" s="3">
        <v>5</v>
      </c>
      <c r="H150" s="3">
        <v>4</v>
      </c>
      <c r="I150" s="3">
        <v>4</v>
      </c>
      <c r="J150" s="3">
        <v>4</v>
      </c>
      <c r="K150" s="3">
        <v>4</v>
      </c>
      <c r="L150" s="3">
        <v>5</v>
      </c>
      <c r="M150" s="3">
        <v>4</v>
      </c>
    </row>
    <row r="151" spans="1:13">
      <c r="A151" t="s">
        <v>108</v>
      </c>
      <c r="B151" t="s">
        <v>2</v>
      </c>
      <c r="C151" t="s">
        <v>198</v>
      </c>
      <c r="D151" t="s">
        <v>3</v>
      </c>
      <c r="E151" t="s">
        <v>109</v>
      </c>
      <c r="F151" s="2">
        <v>44962</v>
      </c>
      <c r="G151" s="3">
        <v>5</v>
      </c>
      <c r="H151" s="3">
        <v>5</v>
      </c>
      <c r="I151" s="3">
        <v>5</v>
      </c>
      <c r="J151" s="3">
        <v>5</v>
      </c>
      <c r="K151" s="3">
        <v>5</v>
      </c>
      <c r="L151" s="3">
        <v>5</v>
      </c>
      <c r="M151" s="3">
        <v>5</v>
      </c>
    </row>
    <row r="152" spans="1:13">
      <c r="A152" t="s">
        <v>647</v>
      </c>
      <c r="B152" t="s">
        <v>2</v>
      </c>
      <c r="C152" t="s">
        <v>198</v>
      </c>
      <c r="D152" t="s">
        <v>3</v>
      </c>
      <c r="E152" t="s">
        <v>49</v>
      </c>
      <c r="F152" s="2">
        <v>45017</v>
      </c>
      <c r="G152" s="3">
        <v>4</v>
      </c>
      <c r="H152" s="3">
        <v>5</v>
      </c>
      <c r="I152" s="3">
        <v>3</v>
      </c>
      <c r="J152" s="3">
        <v>4</v>
      </c>
      <c r="K152" s="3">
        <v>5</v>
      </c>
      <c r="L152" s="3">
        <v>3</v>
      </c>
      <c r="M152" s="3">
        <v>3</v>
      </c>
    </row>
    <row r="153" spans="1:13">
      <c r="A153" t="s">
        <v>110</v>
      </c>
      <c r="B153" t="s">
        <v>383</v>
      </c>
      <c r="C153" t="s">
        <v>582</v>
      </c>
      <c r="D153" t="s">
        <v>3</v>
      </c>
      <c r="E153" t="s">
        <v>619</v>
      </c>
      <c r="F153" s="2">
        <v>44988</v>
      </c>
      <c r="G153" s="3">
        <v>4</v>
      </c>
      <c r="H153" s="3">
        <v>3</v>
      </c>
      <c r="I153" s="3">
        <v>5</v>
      </c>
      <c r="J153" s="3">
        <v>3</v>
      </c>
      <c r="K153" s="3">
        <v>5</v>
      </c>
      <c r="L153" s="3">
        <v>3</v>
      </c>
      <c r="M153" s="3">
        <v>3</v>
      </c>
    </row>
    <row r="154" spans="1:13">
      <c r="A154" t="s">
        <v>111</v>
      </c>
      <c r="B154" t="s">
        <v>2</v>
      </c>
      <c r="C154" t="s">
        <v>198</v>
      </c>
      <c r="D154" t="s">
        <v>3</v>
      </c>
      <c r="E154" t="s">
        <v>26</v>
      </c>
      <c r="F154" s="2">
        <v>44927</v>
      </c>
      <c r="G154" s="3">
        <v>5</v>
      </c>
      <c r="H154" s="3">
        <v>4</v>
      </c>
      <c r="I154" s="3">
        <v>4</v>
      </c>
      <c r="J154" s="3">
        <v>4</v>
      </c>
      <c r="K154" s="3">
        <v>5</v>
      </c>
      <c r="L154" s="3">
        <v>5</v>
      </c>
      <c r="M154" s="3">
        <v>4</v>
      </c>
    </row>
    <row r="155" spans="1:13">
      <c r="A155" t="s">
        <v>112</v>
      </c>
      <c r="B155" t="s">
        <v>2</v>
      </c>
      <c r="C155" t="s">
        <v>198</v>
      </c>
      <c r="D155" t="s">
        <v>3</v>
      </c>
      <c r="E155" t="s">
        <v>49</v>
      </c>
      <c r="F155" s="2">
        <v>44959</v>
      </c>
      <c r="G155" s="3">
        <v>5</v>
      </c>
      <c r="H155" s="3">
        <v>5</v>
      </c>
      <c r="I155" s="3">
        <v>4</v>
      </c>
      <c r="J155" s="3">
        <v>5</v>
      </c>
      <c r="K155" s="3">
        <v>5</v>
      </c>
      <c r="L155" s="3">
        <v>3</v>
      </c>
      <c r="M155" s="3">
        <v>3</v>
      </c>
    </row>
    <row r="156" spans="1:13">
      <c r="A156" t="s">
        <v>113</v>
      </c>
      <c r="B156" t="s">
        <v>2</v>
      </c>
      <c r="C156" t="s">
        <v>198</v>
      </c>
      <c r="D156" t="s">
        <v>3</v>
      </c>
      <c r="E156" t="s">
        <v>4</v>
      </c>
      <c r="F156" s="2">
        <v>44900</v>
      </c>
      <c r="G156" s="3">
        <v>4</v>
      </c>
      <c r="H156" s="3">
        <v>4</v>
      </c>
      <c r="I156" s="3">
        <v>4</v>
      </c>
      <c r="J156" s="3">
        <v>3</v>
      </c>
      <c r="K156" s="3">
        <v>5</v>
      </c>
      <c r="L156" s="3">
        <v>5</v>
      </c>
      <c r="M156" s="3">
        <v>3</v>
      </c>
    </row>
    <row r="157" spans="1:13">
      <c r="A157" t="s">
        <v>19</v>
      </c>
      <c r="B157" t="s">
        <v>2</v>
      </c>
      <c r="C157" t="s">
        <v>198</v>
      </c>
      <c r="D157" t="s">
        <v>3</v>
      </c>
      <c r="E157" t="s">
        <v>49</v>
      </c>
      <c r="F157" s="2">
        <v>45020</v>
      </c>
      <c r="G157" s="3">
        <v>5</v>
      </c>
      <c r="H157" s="3">
        <v>5</v>
      </c>
      <c r="I157" s="3">
        <v>5</v>
      </c>
      <c r="J157" s="3">
        <v>5</v>
      </c>
      <c r="K157" s="3">
        <v>5</v>
      </c>
      <c r="L157" s="3">
        <v>5</v>
      </c>
      <c r="M157" s="3">
        <v>5</v>
      </c>
    </row>
    <row r="158" spans="1:13">
      <c r="A158" t="s">
        <v>648</v>
      </c>
      <c r="B158" t="s">
        <v>318</v>
      </c>
      <c r="C158" t="s">
        <v>358</v>
      </c>
      <c r="D158" t="s">
        <v>3</v>
      </c>
      <c r="E158" t="s">
        <v>17</v>
      </c>
      <c r="F158" s="2">
        <v>45047</v>
      </c>
      <c r="G158" s="3">
        <v>5</v>
      </c>
      <c r="H158" s="3">
        <v>5</v>
      </c>
      <c r="I158" s="3">
        <v>4</v>
      </c>
      <c r="J158" s="3">
        <v>5</v>
      </c>
      <c r="K158" s="3">
        <v>5</v>
      </c>
      <c r="L158" s="3">
        <v>5</v>
      </c>
      <c r="M158" s="3">
        <v>5</v>
      </c>
    </row>
    <row r="159" spans="1:13">
      <c r="A159" t="s">
        <v>77</v>
      </c>
      <c r="B159" t="s">
        <v>558</v>
      </c>
      <c r="C159" t="s">
        <v>558</v>
      </c>
      <c r="D159" t="s">
        <v>3</v>
      </c>
      <c r="E159" t="s">
        <v>4</v>
      </c>
      <c r="F159" s="2">
        <v>44899</v>
      </c>
      <c r="G159" s="3">
        <v>4</v>
      </c>
      <c r="H159" s="3">
        <v>3</v>
      </c>
      <c r="I159" s="3">
        <v>3</v>
      </c>
      <c r="J159" s="3">
        <v>3</v>
      </c>
      <c r="K159" s="3">
        <v>5</v>
      </c>
      <c r="L159" s="3">
        <v>5</v>
      </c>
      <c r="M159" s="3">
        <v>5</v>
      </c>
    </row>
    <row r="160" spans="1:13">
      <c r="A160" t="s">
        <v>554</v>
      </c>
      <c r="B160" t="s">
        <v>2</v>
      </c>
      <c r="C160" t="s">
        <v>198</v>
      </c>
      <c r="D160" t="s">
        <v>3</v>
      </c>
      <c r="E160" t="s">
        <v>4</v>
      </c>
      <c r="F160" s="2">
        <v>45019</v>
      </c>
      <c r="G160" s="3">
        <v>5</v>
      </c>
      <c r="H160" s="3">
        <v>5</v>
      </c>
      <c r="I160" s="3">
        <v>5</v>
      </c>
      <c r="J160" s="3">
        <v>3</v>
      </c>
      <c r="K160" s="3">
        <v>5</v>
      </c>
      <c r="L160" s="3">
        <v>5</v>
      </c>
      <c r="M160" s="3">
        <v>5</v>
      </c>
    </row>
    <row r="161" spans="1:13">
      <c r="A161" t="s">
        <v>30</v>
      </c>
      <c r="B161" t="s">
        <v>132</v>
      </c>
      <c r="C161" t="s">
        <v>358</v>
      </c>
      <c r="D161" t="s">
        <v>3</v>
      </c>
      <c r="E161" t="s">
        <v>12</v>
      </c>
      <c r="F161" s="2">
        <v>45054</v>
      </c>
      <c r="G161" s="3">
        <v>5</v>
      </c>
      <c r="H161" s="3">
        <v>5</v>
      </c>
      <c r="I161" s="3">
        <v>4</v>
      </c>
      <c r="J161" s="3">
        <v>5</v>
      </c>
      <c r="K161" s="3">
        <v>4</v>
      </c>
      <c r="L161" s="3">
        <v>5</v>
      </c>
      <c r="M161" s="3">
        <v>4</v>
      </c>
    </row>
    <row r="162" spans="1:13">
      <c r="A162" t="s">
        <v>115</v>
      </c>
      <c r="B162" t="s">
        <v>2</v>
      </c>
      <c r="C162" t="s">
        <v>198</v>
      </c>
      <c r="D162" t="s">
        <v>3</v>
      </c>
      <c r="E162" t="s">
        <v>4</v>
      </c>
      <c r="F162" s="2">
        <v>44869</v>
      </c>
      <c r="G162" s="3">
        <v>4</v>
      </c>
      <c r="H162" s="3">
        <v>4</v>
      </c>
      <c r="I162" s="3">
        <v>3</v>
      </c>
      <c r="J162" s="3">
        <v>3</v>
      </c>
      <c r="K162" s="3">
        <v>4</v>
      </c>
      <c r="L162" s="3">
        <v>4</v>
      </c>
      <c r="M162" s="3">
        <v>3</v>
      </c>
    </row>
    <row r="163" spans="1:13">
      <c r="A163" t="s">
        <v>35</v>
      </c>
      <c r="B163" t="s">
        <v>520</v>
      </c>
      <c r="C163" t="s">
        <v>198</v>
      </c>
      <c r="D163" t="s">
        <v>3</v>
      </c>
      <c r="E163" t="s">
        <v>638</v>
      </c>
      <c r="F163" s="2">
        <v>44929</v>
      </c>
      <c r="G163" s="3">
        <v>5</v>
      </c>
      <c r="H163" s="3">
        <v>5</v>
      </c>
      <c r="I163" s="3">
        <v>5</v>
      </c>
      <c r="J163" s="3">
        <v>5</v>
      </c>
      <c r="K163" s="3">
        <v>5</v>
      </c>
      <c r="L163" s="3">
        <v>5</v>
      </c>
      <c r="M163" s="3">
        <v>5</v>
      </c>
    </row>
    <row r="164" spans="1:13">
      <c r="A164" t="s">
        <v>28</v>
      </c>
      <c r="B164" t="s">
        <v>526</v>
      </c>
      <c r="C164" t="s">
        <v>623</v>
      </c>
      <c r="D164" t="s">
        <v>3</v>
      </c>
      <c r="E164" t="s">
        <v>25</v>
      </c>
      <c r="F164" s="2">
        <v>45047</v>
      </c>
      <c r="G164" s="3">
        <v>3</v>
      </c>
      <c r="H164" s="3">
        <v>2</v>
      </c>
      <c r="I164" s="3">
        <v>3</v>
      </c>
      <c r="J164" s="3">
        <v>4</v>
      </c>
      <c r="K164" s="3">
        <v>5</v>
      </c>
      <c r="L164" s="3">
        <v>2</v>
      </c>
      <c r="M164" s="3">
        <v>2</v>
      </c>
    </row>
    <row r="165" spans="1:13">
      <c r="A165" t="s">
        <v>116</v>
      </c>
      <c r="B165" t="s">
        <v>2</v>
      </c>
      <c r="C165" t="s">
        <v>198</v>
      </c>
      <c r="D165" t="s">
        <v>3</v>
      </c>
      <c r="E165" t="s">
        <v>12</v>
      </c>
      <c r="F165" s="2">
        <v>45022</v>
      </c>
      <c r="G165" s="3">
        <v>5</v>
      </c>
      <c r="H165" s="3">
        <v>5</v>
      </c>
      <c r="I165" s="3">
        <v>5</v>
      </c>
      <c r="J165" s="3">
        <v>5</v>
      </c>
      <c r="K165" s="3">
        <v>5</v>
      </c>
      <c r="L165" s="3">
        <v>5</v>
      </c>
      <c r="M165" s="3">
        <v>5</v>
      </c>
    </row>
    <row r="166" spans="1:13">
      <c r="A166" t="s">
        <v>30</v>
      </c>
      <c r="B166" t="s">
        <v>117</v>
      </c>
      <c r="C166" s="1" t="s">
        <v>572</v>
      </c>
      <c r="D166" t="s">
        <v>3</v>
      </c>
      <c r="E166" t="s">
        <v>12</v>
      </c>
      <c r="F166" s="2">
        <v>45140</v>
      </c>
      <c r="G166" s="3">
        <v>5</v>
      </c>
      <c r="H166" s="3">
        <v>5</v>
      </c>
      <c r="I166" s="3">
        <v>5</v>
      </c>
      <c r="J166" s="3">
        <v>5</v>
      </c>
      <c r="K166" s="3">
        <v>5</v>
      </c>
      <c r="L166" s="3">
        <v>5</v>
      </c>
      <c r="M166" s="3">
        <v>5</v>
      </c>
    </row>
    <row r="167" spans="1:13">
      <c r="A167" t="s">
        <v>1</v>
      </c>
      <c r="B167" t="s">
        <v>2</v>
      </c>
      <c r="C167" t="s">
        <v>198</v>
      </c>
      <c r="D167" t="s">
        <v>3</v>
      </c>
      <c r="E167" t="s">
        <v>20</v>
      </c>
      <c r="F167" s="2">
        <v>45022</v>
      </c>
      <c r="G167" s="3">
        <v>4</v>
      </c>
      <c r="H167" s="3">
        <v>4</v>
      </c>
      <c r="I167" s="3">
        <v>4</v>
      </c>
      <c r="J167" s="3">
        <v>3</v>
      </c>
      <c r="K167" s="3">
        <v>5</v>
      </c>
      <c r="L167" s="3">
        <v>4</v>
      </c>
      <c r="M167" s="3">
        <v>2</v>
      </c>
    </row>
    <row r="168" spans="1:13">
      <c r="A168" t="s">
        <v>1</v>
      </c>
      <c r="B168" t="s">
        <v>2</v>
      </c>
      <c r="C168" t="s">
        <v>198</v>
      </c>
      <c r="D168" t="s">
        <v>3</v>
      </c>
      <c r="E168" t="s">
        <v>26</v>
      </c>
      <c r="F168" s="2">
        <v>44994</v>
      </c>
      <c r="G168" s="3">
        <v>5</v>
      </c>
      <c r="H168" s="3">
        <v>4</v>
      </c>
      <c r="I168" s="3">
        <v>4</v>
      </c>
      <c r="J168" s="3">
        <v>4</v>
      </c>
      <c r="K168" s="3">
        <v>5</v>
      </c>
      <c r="L168" s="3">
        <v>5</v>
      </c>
      <c r="M168" s="3">
        <v>4</v>
      </c>
    </row>
    <row r="169" spans="1:13">
      <c r="A169" t="s">
        <v>1</v>
      </c>
      <c r="B169" t="s">
        <v>2</v>
      </c>
      <c r="C169" t="s">
        <v>198</v>
      </c>
      <c r="D169" t="s">
        <v>3</v>
      </c>
      <c r="E169" t="s">
        <v>12</v>
      </c>
      <c r="F169" s="2">
        <v>44988</v>
      </c>
      <c r="G169" s="3">
        <v>5</v>
      </c>
      <c r="H169" s="3">
        <v>4</v>
      </c>
      <c r="I169" s="3">
        <v>5</v>
      </c>
      <c r="J169" s="3">
        <v>3</v>
      </c>
      <c r="K169" s="3">
        <v>5</v>
      </c>
      <c r="L169" s="3">
        <v>5</v>
      </c>
      <c r="M169" s="3">
        <v>4</v>
      </c>
    </row>
    <row r="170" spans="1:13">
      <c r="A170" t="s">
        <v>35</v>
      </c>
      <c r="B170" t="s">
        <v>82</v>
      </c>
      <c r="C170" t="s">
        <v>566</v>
      </c>
      <c r="D170" t="s">
        <v>3</v>
      </c>
      <c r="E170" t="s">
        <v>638</v>
      </c>
      <c r="F170" s="2">
        <v>45048</v>
      </c>
      <c r="G170" s="3">
        <v>1</v>
      </c>
      <c r="H170" s="3">
        <v>1</v>
      </c>
      <c r="I170" s="3">
        <v>2</v>
      </c>
      <c r="J170" s="3">
        <v>5</v>
      </c>
      <c r="K170" s="3">
        <v>5</v>
      </c>
      <c r="L170" s="3">
        <v>1</v>
      </c>
      <c r="M170" s="3">
        <v>3</v>
      </c>
    </row>
    <row r="171" spans="1:13">
      <c r="A171" t="s">
        <v>1</v>
      </c>
      <c r="B171" t="s">
        <v>2</v>
      </c>
      <c r="C171" t="s">
        <v>198</v>
      </c>
      <c r="D171" t="s">
        <v>3</v>
      </c>
      <c r="E171" t="s">
        <v>12</v>
      </c>
      <c r="F171" s="2">
        <v>44904</v>
      </c>
      <c r="G171" s="3">
        <v>5</v>
      </c>
      <c r="H171" s="3">
        <v>5</v>
      </c>
      <c r="I171" s="3">
        <v>5</v>
      </c>
      <c r="J171" s="3">
        <v>5</v>
      </c>
      <c r="K171" s="3">
        <v>5</v>
      </c>
      <c r="L171" s="3">
        <v>4</v>
      </c>
      <c r="M171" s="3">
        <v>3</v>
      </c>
    </row>
    <row r="172" spans="1:13">
      <c r="A172" t="s">
        <v>30</v>
      </c>
      <c r="B172" t="s">
        <v>2</v>
      </c>
      <c r="C172" t="s">
        <v>198</v>
      </c>
      <c r="D172" t="s">
        <v>3</v>
      </c>
      <c r="E172" t="s">
        <v>26</v>
      </c>
      <c r="F172" s="2">
        <v>44987</v>
      </c>
      <c r="G172" s="3">
        <v>5</v>
      </c>
      <c r="H172" s="3">
        <v>5</v>
      </c>
      <c r="I172" s="3">
        <v>5</v>
      </c>
      <c r="J172" s="3">
        <v>5</v>
      </c>
      <c r="K172" s="3">
        <v>5</v>
      </c>
      <c r="L172" s="3">
        <v>5</v>
      </c>
      <c r="M172" s="3">
        <v>5</v>
      </c>
    </row>
    <row r="173" spans="1:13">
      <c r="A173" t="s">
        <v>28</v>
      </c>
      <c r="B173" t="s">
        <v>118</v>
      </c>
      <c r="C173" t="s">
        <v>579</v>
      </c>
      <c r="D173" t="s">
        <v>3</v>
      </c>
      <c r="E173" t="s">
        <v>25</v>
      </c>
      <c r="F173" s="2">
        <v>45020</v>
      </c>
      <c r="G173" s="3">
        <v>5</v>
      </c>
      <c r="H173" s="3">
        <v>4</v>
      </c>
      <c r="I173" s="3">
        <v>4</v>
      </c>
      <c r="J173" s="3">
        <v>3</v>
      </c>
      <c r="K173" s="3">
        <v>5</v>
      </c>
      <c r="L173" s="3">
        <v>4</v>
      </c>
      <c r="M173" s="3">
        <v>3</v>
      </c>
    </row>
    <row r="174" spans="1:13">
      <c r="A174" t="s">
        <v>602</v>
      </c>
      <c r="B174" t="s">
        <v>519</v>
      </c>
      <c r="C174" t="s">
        <v>581</v>
      </c>
      <c r="D174" t="s">
        <v>3</v>
      </c>
      <c r="E174" t="s">
        <v>23</v>
      </c>
      <c r="F174" s="2">
        <v>44958</v>
      </c>
      <c r="G174" s="3">
        <v>4</v>
      </c>
      <c r="H174" s="3">
        <v>4</v>
      </c>
      <c r="I174" s="3">
        <v>5</v>
      </c>
      <c r="J174" s="3">
        <v>3</v>
      </c>
      <c r="K174" s="3">
        <v>5</v>
      </c>
      <c r="L174" s="3">
        <v>4</v>
      </c>
      <c r="M174" s="3">
        <v>4</v>
      </c>
    </row>
    <row r="175" spans="1:13">
      <c r="A175" t="s">
        <v>649</v>
      </c>
      <c r="B175" t="s">
        <v>558</v>
      </c>
      <c r="C175" t="s">
        <v>558</v>
      </c>
      <c r="D175" t="s">
        <v>45</v>
      </c>
      <c r="E175" t="s">
        <v>26</v>
      </c>
      <c r="F175" s="2">
        <v>45023</v>
      </c>
      <c r="G175" s="3">
        <v>5</v>
      </c>
      <c r="H175" s="3">
        <v>3</v>
      </c>
      <c r="I175" s="3">
        <v>5</v>
      </c>
      <c r="J175" s="3">
        <v>3</v>
      </c>
      <c r="K175" s="3">
        <v>4</v>
      </c>
      <c r="L175" s="3">
        <v>5</v>
      </c>
      <c r="M175" s="3">
        <v>4</v>
      </c>
    </row>
    <row r="176" spans="1:13">
      <c r="A176" t="s">
        <v>119</v>
      </c>
      <c r="B176" t="s">
        <v>132</v>
      </c>
      <c r="C176" t="s">
        <v>358</v>
      </c>
      <c r="D176" t="s">
        <v>3</v>
      </c>
      <c r="E176" t="s">
        <v>23</v>
      </c>
      <c r="F176" s="2">
        <v>44896</v>
      </c>
      <c r="G176" s="3">
        <v>4</v>
      </c>
      <c r="H176" s="3">
        <v>4</v>
      </c>
      <c r="I176" s="3">
        <v>4</v>
      </c>
      <c r="J176" s="3">
        <v>4</v>
      </c>
      <c r="K176" s="3">
        <v>4</v>
      </c>
      <c r="L176" s="3">
        <v>4</v>
      </c>
      <c r="M176" s="3">
        <v>4</v>
      </c>
    </row>
    <row r="177" spans="1:13">
      <c r="A177" t="s">
        <v>120</v>
      </c>
      <c r="B177" t="s">
        <v>527</v>
      </c>
      <c r="C177" t="s">
        <v>581</v>
      </c>
      <c r="D177" t="s">
        <v>3</v>
      </c>
      <c r="E177" t="s">
        <v>619</v>
      </c>
      <c r="F177" s="2">
        <v>45020</v>
      </c>
      <c r="G177" s="3">
        <v>2</v>
      </c>
      <c r="H177" s="3">
        <v>1</v>
      </c>
      <c r="I177" s="3">
        <v>5</v>
      </c>
      <c r="J177" s="3">
        <v>1</v>
      </c>
      <c r="K177" s="3">
        <v>5</v>
      </c>
      <c r="L177" s="3">
        <v>1</v>
      </c>
      <c r="M177" s="3">
        <v>1</v>
      </c>
    </row>
    <row r="178" spans="1:13">
      <c r="A178" t="s">
        <v>1</v>
      </c>
      <c r="B178" t="s">
        <v>2</v>
      </c>
      <c r="C178" t="s">
        <v>198</v>
      </c>
      <c r="D178" t="s">
        <v>3</v>
      </c>
      <c r="E178" t="s">
        <v>12</v>
      </c>
      <c r="F178" s="2">
        <v>44963</v>
      </c>
      <c r="G178" s="3">
        <v>5</v>
      </c>
      <c r="H178" s="3">
        <v>4</v>
      </c>
      <c r="I178" s="3">
        <v>2</v>
      </c>
      <c r="J178" s="3">
        <v>3</v>
      </c>
      <c r="K178" s="3">
        <v>5</v>
      </c>
      <c r="L178" s="3">
        <v>5</v>
      </c>
      <c r="M178" s="3">
        <v>2</v>
      </c>
    </row>
    <row r="179" spans="1:13">
      <c r="A179" t="s">
        <v>649</v>
      </c>
      <c r="B179" t="s">
        <v>2</v>
      </c>
      <c r="C179" t="s">
        <v>198</v>
      </c>
      <c r="D179" t="s">
        <v>3</v>
      </c>
      <c r="E179" t="s">
        <v>12</v>
      </c>
      <c r="F179" s="2">
        <v>45047</v>
      </c>
      <c r="G179" s="3">
        <v>5</v>
      </c>
      <c r="H179" s="3">
        <v>5</v>
      </c>
      <c r="I179" s="3">
        <v>5</v>
      </c>
      <c r="J179" s="3">
        <v>5</v>
      </c>
      <c r="K179" s="3">
        <v>5</v>
      </c>
      <c r="L179" s="3">
        <v>5</v>
      </c>
      <c r="M179" s="3">
        <v>5</v>
      </c>
    </row>
    <row r="180" spans="1:13">
      <c r="A180" t="s">
        <v>121</v>
      </c>
      <c r="B180" t="s">
        <v>2</v>
      </c>
      <c r="C180" t="s">
        <v>198</v>
      </c>
      <c r="D180" t="s">
        <v>3</v>
      </c>
      <c r="E180" t="s">
        <v>122</v>
      </c>
      <c r="F180" s="2">
        <v>44928</v>
      </c>
      <c r="G180" s="3">
        <v>4</v>
      </c>
      <c r="H180" s="3">
        <v>4</v>
      </c>
      <c r="I180" s="3">
        <v>5</v>
      </c>
      <c r="J180" s="3">
        <v>3</v>
      </c>
      <c r="K180" s="3">
        <v>4</v>
      </c>
      <c r="L180" s="3">
        <v>5</v>
      </c>
      <c r="M180" s="3">
        <v>3</v>
      </c>
    </row>
    <row r="181" spans="1:13">
      <c r="A181" t="s">
        <v>123</v>
      </c>
      <c r="B181" t="s">
        <v>2</v>
      </c>
      <c r="C181" t="s">
        <v>198</v>
      </c>
      <c r="D181" t="s">
        <v>3</v>
      </c>
      <c r="E181" t="s">
        <v>650</v>
      </c>
      <c r="F181" s="2">
        <v>44958</v>
      </c>
      <c r="G181" s="3">
        <v>5</v>
      </c>
      <c r="H181" s="3">
        <v>5</v>
      </c>
      <c r="I181" s="3">
        <v>5</v>
      </c>
      <c r="J181" s="3">
        <v>5</v>
      </c>
      <c r="K181" s="3">
        <v>5</v>
      </c>
      <c r="L181" s="3">
        <v>4</v>
      </c>
      <c r="M181" s="3">
        <v>4</v>
      </c>
    </row>
    <row r="182" spans="1:13">
      <c r="A182" t="s">
        <v>124</v>
      </c>
      <c r="B182" t="s">
        <v>558</v>
      </c>
      <c r="C182" t="s">
        <v>558</v>
      </c>
      <c r="D182" t="s">
        <v>3</v>
      </c>
      <c r="E182" t="s">
        <v>20</v>
      </c>
      <c r="F182" s="2">
        <v>45050</v>
      </c>
      <c r="G182" s="3">
        <v>4</v>
      </c>
      <c r="H182" s="3">
        <v>4</v>
      </c>
      <c r="I182" s="3">
        <v>4</v>
      </c>
      <c r="J182" s="3">
        <v>4</v>
      </c>
      <c r="K182" s="3">
        <v>5</v>
      </c>
      <c r="L182" s="3">
        <v>5</v>
      </c>
      <c r="M182" s="3">
        <v>3</v>
      </c>
    </row>
    <row r="183" spans="1:13">
      <c r="A183" t="s">
        <v>30</v>
      </c>
      <c r="B183" t="s">
        <v>2</v>
      </c>
      <c r="C183" t="s">
        <v>198</v>
      </c>
      <c r="D183" t="s">
        <v>3</v>
      </c>
      <c r="E183" t="s">
        <v>23</v>
      </c>
      <c r="F183" s="2">
        <v>44898</v>
      </c>
      <c r="G183" s="3">
        <v>4</v>
      </c>
      <c r="H183" s="3">
        <v>4</v>
      </c>
      <c r="I183" s="3">
        <v>4</v>
      </c>
      <c r="J183" s="3">
        <v>4</v>
      </c>
      <c r="K183" s="3">
        <v>3</v>
      </c>
      <c r="L183" s="3">
        <v>4</v>
      </c>
      <c r="M183" s="3">
        <v>4</v>
      </c>
    </row>
    <row r="184" spans="1:13">
      <c r="A184" t="s">
        <v>7</v>
      </c>
      <c r="B184" t="s">
        <v>192</v>
      </c>
      <c r="C184" t="s">
        <v>192</v>
      </c>
      <c r="D184" t="s">
        <v>3</v>
      </c>
      <c r="E184" t="s">
        <v>638</v>
      </c>
      <c r="F184" s="2">
        <v>44935</v>
      </c>
      <c r="G184" s="3">
        <v>4</v>
      </c>
      <c r="H184" s="3">
        <v>4</v>
      </c>
      <c r="I184" s="3">
        <v>5</v>
      </c>
      <c r="J184" s="3">
        <v>2</v>
      </c>
      <c r="K184" s="3">
        <v>5</v>
      </c>
      <c r="L184" s="3">
        <v>3</v>
      </c>
      <c r="M184" s="3">
        <v>3</v>
      </c>
    </row>
    <row r="185" spans="1:13">
      <c r="A185" t="s">
        <v>535</v>
      </c>
      <c r="B185" t="s">
        <v>558</v>
      </c>
      <c r="C185" t="s">
        <v>558</v>
      </c>
      <c r="D185" t="s">
        <v>45</v>
      </c>
      <c r="E185" t="s">
        <v>26</v>
      </c>
      <c r="F185" s="2">
        <v>44935</v>
      </c>
      <c r="G185" s="3">
        <v>5</v>
      </c>
      <c r="H185" s="3">
        <v>5</v>
      </c>
      <c r="I185" s="3">
        <v>5</v>
      </c>
      <c r="J185" s="3">
        <v>5</v>
      </c>
      <c r="K185" s="3">
        <v>5</v>
      </c>
      <c r="L185" s="3">
        <v>5</v>
      </c>
      <c r="M185" s="3">
        <v>5</v>
      </c>
    </row>
    <row r="186" spans="1:13">
      <c r="A186" t="s">
        <v>651</v>
      </c>
      <c r="B186" t="s">
        <v>383</v>
      </c>
      <c r="C186" t="s">
        <v>582</v>
      </c>
      <c r="D186" t="s">
        <v>3</v>
      </c>
      <c r="E186" t="s">
        <v>122</v>
      </c>
      <c r="F186" s="2">
        <v>44838</v>
      </c>
      <c r="G186" s="3">
        <v>2</v>
      </c>
      <c r="H186" s="3">
        <v>2</v>
      </c>
      <c r="I186" s="3">
        <v>2</v>
      </c>
      <c r="J186" s="3">
        <v>3</v>
      </c>
      <c r="K186" s="3">
        <v>2</v>
      </c>
      <c r="L186" s="3">
        <v>2</v>
      </c>
      <c r="M186" s="3">
        <v>2</v>
      </c>
    </row>
    <row r="187" spans="1:13">
      <c r="A187" t="s">
        <v>125</v>
      </c>
      <c r="B187" t="s">
        <v>558</v>
      </c>
      <c r="C187" t="s">
        <v>558</v>
      </c>
      <c r="D187" t="s">
        <v>3</v>
      </c>
      <c r="E187" t="s">
        <v>23</v>
      </c>
      <c r="F187" s="2">
        <v>44870</v>
      </c>
      <c r="G187" s="3">
        <v>3</v>
      </c>
      <c r="H187" s="3">
        <v>3</v>
      </c>
      <c r="I187" s="3">
        <v>3</v>
      </c>
      <c r="J187" s="3">
        <v>3</v>
      </c>
      <c r="K187" s="3">
        <v>5</v>
      </c>
      <c r="L187" s="3">
        <v>3</v>
      </c>
      <c r="M187" s="3">
        <v>2</v>
      </c>
    </row>
    <row r="188" spans="1:13">
      <c r="A188" t="s">
        <v>126</v>
      </c>
      <c r="B188" t="s">
        <v>50</v>
      </c>
      <c r="C188" t="s">
        <v>50</v>
      </c>
      <c r="D188" t="s">
        <v>3</v>
      </c>
      <c r="E188" t="s">
        <v>127</v>
      </c>
      <c r="F188" s="2">
        <v>44904</v>
      </c>
      <c r="G188" s="3">
        <v>5</v>
      </c>
      <c r="H188" s="3">
        <v>5</v>
      </c>
      <c r="I188" s="3">
        <v>5</v>
      </c>
      <c r="J188" s="3">
        <v>3</v>
      </c>
      <c r="K188" s="3">
        <v>5</v>
      </c>
      <c r="L188" s="3">
        <v>5</v>
      </c>
      <c r="M188" s="3">
        <v>3</v>
      </c>
    </row>
    <row r="189" spans="1:13">
      <c r="A189" t="s">
        <v>77</v>
      </c>
      <c r="B189" t="s">
        <v>2</v>
      </c>
      <c r="C189" t="s">
        <v>198</v>
      </c>
      <c r="D189" t="s">
        <v>3</v>
      </c>
      <c r="E189" t="s">
        <v>12</v>
      </c>
      <c r="F189" s="2">
        <v>45024</v>
      </c>
      <c r="G189" s="3">
        <v>5</v>
      </c>
      <c r="H189" s="3">
        <v>5</v>
      </c>
      <c r="I189" s="3">
        <v>5</v>
      </c>
      <c r="J189" s="3">
        <v>3</v>
      </c>
      <c r="K189" s="3">
        <v>5</v>
      </c>
      <c r="L189" s="3">
        <v>5</v>
      </c>
      <c r="M189" s="3">
        <v>3</v>
      </c>
    </row>
    <row r="190" spans="1:13">
      <c r="A190" t="s">
        <v>7</v>
      </c>
      <c r="B190" t="s">
        <v>78</v>
      </c>
      <c r="C190" t="s">
        <v>569</v>
      </c>
      <c r="D190" t="s">
        <v>3</v>
      </c>
      <c r="E190" t="s">
        <v>619</v>
      </c>
      <c r="F190" s="2">
        <v>45055</v>
      </c>
      <c r="G190" s="3">
        <v>5</v>
      </c>
      <c r="H190" s="3">
        <v>5</v>
      </c>
      <c r="I190" s="3">
        <v>5</v>
      </c>
      <c r="J190" s="3">
        <v>5</v>
      </c>
      <c r="K190" s="3">
        <v>5</v>
      </c>
      <c r="L190" s="3">
        <v>5</v>
      </c>
      <c r="M190" s="3">
        <v>5</v>
      </c>
    </row>
    <row r="191" spans="1:13">
      <c r="A191" t="s">
        <v>76</v>
      </c>
      <c r="B191" t="s">
        <v>2</v>
      </c>
      <c r="C191" t="s">
        <v>198</v>
      </c>
      <c r="D191" t="s">
        <v>3</v>
      </c>
      <c r="E191" t="s">
        <v>4</v>
      </c>
      <c r="F191" s="2">
        <v>44903</v>
      </c>
      <c r="G191" s="3">
        <v>5</v>
      </c>
      <c r="H191" s="3">
        <v>5</v>
      </c>
      <c r="I191" s="3">
        <v>5</v>
      </c>
      <c r="J191" s="3">
        <v>5</v>
      </c>
      <c r="K191" s="3">
        <v>5</v>
      </c>
      <c r="L191" s="3">
        <v>5</v>
      </c>
      <c r="M191" s="3">
        <v>5</v>
      </c>
    </row>
    <row r="192" spans="1:13">
      <c r="A192" t="s">
        <v>554</v>
      </c>
      <c r="B192" t="s">
        <v>2</v>
      </c>
      <c r="C192" t="s">
        <v>198</v>
      </c>
      <c r="D192" t="s">
        <v>3</v>
      </c>
      <c r="E192" t="s">
        <v>4</v>
      </c>
      <c r="F192" s="2">
        <v>44896</v>
      </c>
      <c r="G192" s="3">
        <v>1</v>
      </c>
      <c r="H192" s="3">
        <v>1</v>
      </c>
      <c r="I192" s="3">
        <v>5</v>
      </c>
      <c r="J192" s="3">
        <v>2</v>
      </c>
      <c r="K192" s="3">
        <v>3</v>
      </c>
      <c r="L192" s="3">
        <v>1</v>
      </c>
      <c r="M192" s="3">
        <v>3</v>
      </c>
    </row>
    <row r="193" spans="1:13">
      <c r="A193" t="s">
        <v>40</v>
      </c>
      <c r="B193" t="s">
        <v>50</v>
      </c>
      <c r="C193" t="s">
        <v>50</v>
      </c>
      <c r="D193" t="s">
        <v>3</v>
      </c>
      <c r="E193" t="s">
        <v>128</v>
      </c>
      <c r="F193" s="2">
        <v>44902</v>
      </c>
      <c r="G193" s="3">
        <v>4</v>
      </c>
      <c r="H193" s="3">
        <v>4</v>
      </c>
      <c r="I193" s="3">
        <v>3</v>
      </c>
      <c r="J193" s="3">
        <v>4</v>
      </c>
      <c r="K193" s="3">
        <v>4</v>
      </c>
      <c r="L193" s="3">
        <v>4</v>
      </c>
      <c r="M193" s="3">
        <v>3</v>
      </c>
    </row>
    <row r="194" spans="1:13">
      <c r="A194" t="s">
        <v>30</v>
      </c>
      <c r="B194" t="s">
        <v>2</v>
      </c>
      <c r="C194" t="s">
        <v>198</v>
      </c>
      <c r="D194" t="s">
        <v>3</v>
      </c>
      <c r="E194" t="s">
        <v>26</v>
      </c>
      <c r="F194" s="2">
        <v>44903</v>
      </c>
      <c r="G194" s="3">
        <v>4</v>
      </c>
      <c r="H194" s="3">
        <v>5</v>
      </c>
      <c r="I194" s="3">
        <v>5</v>
      </c>
      <c r="J194" s="3">
        <v>3</v>
      </c>
      <c r="K194" s="3">
        <v>5</v>
      </c>
      <c r="L194" s="3">
        <v>4</v>
      </c>
      <c r="M194" s="3">
        <v>4</v>
      </c>
    </row>
    <row r="195" spans="1:13">
      <c r="A195" t="s">
        <v>1</v>
      </c>
      <c r="B195" t="s">
        <v>2</v>
      </c>
      <c r="C195" t="s">
        <v>198</v>
      </c>
      <c r="D195" t="s">
        <v>3</v>
      </c>
      <c r="E195" t="s">
        <v>12</v>
      </c>
      <c r="F195" s="2">
        <v>44958</v>
      </c>
      <c r="G195" s="3">
        <v>4</v>
      </c>
      <c r="H195" s="3">
        <v>4</v>
      </c>
      <c r="I195" s="3">
        <v>5</v>
      </c>
      <c r="J195" s="3">
        <v>3</v>
      </c>
      <c r="K195" s="3">
        <v>5</v>
      </c>
      <c r="L195" s="3">
        <v>5</v>
      </c>
      <c r="M195" s="3">
        <v>3</v>
      </c>
    </row>
    <row r="196" spans="1:13">
      <c r="A196" t="s">
        <v>98</v>
      </c>
      <c r="B196" t="s">
        <v>558</v>
      </c>
      <c r="C196" t="s">
        <v>558</v>
      </c>
      <c r="D196" t="s">
        <v>3</v>
      </c>
      <c r="E196" t="s">
        <v>12</v>
      </c>
      <c r="F196" s="2">
        <v>44958</v>
      </c>
      <c r="G196" s="3">
        <v>5</v>
      </c>
      <c r="H196" s="3">
        <v>5</v>
      </c>
      <c r="I196" s="3">
        <v>5</v>
      </c>
      <c r="J196" s="3">
        <v>5</v>
      </c>
      <c r="K196" s="3">
        <v>4</v>
      </c>
      <c r="L196" s="3">
        <v>4</v>
      </c>
      <c r="M196" s="3">
        <v>1</v>
      </c>
    </row>
    <row r="197" spans="1:13">
      <c r="A197" t="s">
        <v>98</v>
      </c>
      <c r="B197" t="s">
        <v>50</v>
      </c>
      <c r="C197" t="s">
        <v>50</v>
      </c>
      <c r="D197" t="s">
        <v>129</v>
      </c>
      <c r="E197" t="s">
        <v>20</v>
      </c>
      <c r="F197" s="2">
        <v>44991</v>
      </c>
      <c r="G197" s="3">
        <v>4</v>
      </c>
      <c r="H197" s="3">
        <v>4</v>
      </c>
      <c r="I197" s="3">
        <v>4</v>
      </c>
      <c r="J197" s="3">
        <v>4</v>
      </c>
      <c r="K197" s="3">
        <v>4</v>
      </c>
      <c r="L197" s="3">
        <v>4</v>
      </c>
      <c r="M197" s="3">
        <v>4</v>
      </c>
    </row>
    <row r="198" spans="1:13">
      <c r="A198" t="s">
        <v>130</v>
      </c>
      <c r="B198" t="s">
        <v>2</v>
      </c>
      <c r="C198" t="s">
        <v>198</v>
      </c>
      <c r="D198" t="s">
        <v>3</v>
      </c>
      <c r="E198" t="s">
        <v>20</v>
      </c>
      <c r="F198" s="2">
        <v>44960</v>
      </c>
      <c r="G198" s="3">
        <v>4</v>
      </c>
      <c r="H198" s="3">
        <v>4</v>
      </c>
      <c r="I198" s="3">
        <v>4</v>
      </c>
      <c r="J198" s="3">
        <v>4</v>
      </c>
      <c r="K198" s="3">
        <v>5</v>
      </c>
      <c r="L198" s="3">
        <v>4</v>
      </c>
      <c r="M198" s="3">
        <v>3</v>
      </c>
    </row>
    <row r="199" spans="1:13">
      <c r="A199" t="s">
        <v>131</v>
      </c>
      <c r="B199" t="s">
        <v>132</v>
      </c>
      <c r="C199" t="s">
        <v>358</v>
      </c>
      <c r="D199" t="s">
        <v>3</v>
      </c>
      <c r="E199" t="s">
        <v>122</v>
      </c>
      <c r="F199" s="2">
        <v>45017</v>
      </c>
      <c r="G199" s="3">
        <v>5</v>
      </c>
      <c r="H199" s="3">
        <v>5</v>
      </c>
      <c r="I199" s="3">
        <v>5</v>
      </c>
      <c r="J199" s="3">
        <v>5</v>
      </c>
      <c r="K199" s="3">
        <v>5</v>
      </c>
      <c r="L199" s="3">
        <v>4</v>
      </c>
      <c r="M199" s="3">
        <v>5</v>
      </c>
    </row>
    <row r="200" spans="1:13">
      <c r="A200" t="s">
        <v>560</v>
      </c>
      <c r="B200" t="s">
        <v>2</v>
      </c>
      <c r="C200" t="s">
        <v>198</v>
      </c>
      <c r="D200" t="s">
        <v>3</v>
      </c>
      <c r="E200" t="s">
        <v>12</v>
      </c>
      <c r="F200" s="2">
        <v>44964</v>
      </c>
      <c r="G200" s="3">
        <v>5</v>
      </c>
      <c r="H200" s="3">
        <v>5</v>
      </c>
      <c r="I200" s="3">
        <v>5</v>
      </c>
      <c r="J200" s="3">
        <v>4</v>
      </c>
      <c r="K200" s="3">
        <v>5</v>
      </c>
      <c r="L200" s="3">
        <v>4</v>
      </c>
      <c r="M200" s="3">
        <v>5</v>
      </c>
    </row>
    <row r="201" spans="1:13">
      <c r="A201" t="s">
        <v>133</v>
      </c>
      <c r="B201" t="s">
        <v>2</v>
      </c>
      <c r="C201" t="s">
        <v>198</v>
      </c>
      <c r="D201" t="s">
        <v>74</v>
      </c>
      <c r="E201" t="s">
        <v>56</v>
      </c>
      <c r="F201" s="2">
        <v>44987</v>
      </c>
      <c r="G201" s="3">
        <v>5</v>
      </c>
      <c r="H201" s="3">
        <v>5</v>
      </c>
      <c r="I201" s="3">
        <v>3</v>
      </c>
      <c r="J201" s="3">
        <v>5</v>
      </c>
      <c r="K201" s="3">
        <v>5</v>
      </c>
      <c r="L201" s="3">
        <v>5</v>
      </c>
      <c r="M201" s="3">
        <v>1</v>
      </c>
    </row>
    <row r="202" spans="1:13">
      <c r="A202" t="s">
        <v>134</v>
      </c>
      <c r="B202" t="s">
        <v>2</v>
      </c>
      <c r="C202" t="s">
        <v>198</v>
      </c>
      <c r="D202" t="s">
        <v>3</v>
      </c>
      <c r="E202" t="s">
        <v>135</v>
      </c>
      <c r="F202" s="2">
        <v>44868</v>
      </c>
      <c r="G202" s="3">
        <v>5</v>
      </c>
      <c r="H202" s="3">
        <v>5</v>
      </c>
      <c r="I202" s="3">
        <v>5</v>
      </c>
      <c r="J202" s="3">
        <v>5</v>
      </c>
      <c r="K202" s="3">
        <v>5</v>
      </c>
      <c r="L202" s="3">
        <v>5</v>
      </c>
      <c r="M202" s="3">
        <v>4</v>
      </c>
    </row>
    <row r="203" spans="1:13">
      <c r="A203" t="s">
        <v>136</v>
      </c>
      <c r="B203" t="s">
        <v>2</v>
      </c>
      <c r="C203" t="s">
        <v>198</v>
      </c>
      <c r="D203" t="s">
        <v>74</v>
      </c>
      <c r="E203" t="s">
        <v>4</v>
      </c>
      <c r="F203" s="2">
        <v>44897</v>
      </c>
      <c r="G203" s="3">
        <v>5</v>
      </c>
      <c r="H203" s="3">
        <v>5</v>
      </c>
      <c r="I203" s="3">
        <v>5</v>
      </c>
      <c r="J203" s="3">
        <v>5</v>
      </c>
      <c r="K203" s="3">
        <v>3</v>
      </c>
      <c r="L203" s="3">
        <v>5</v>
      </c>
      <c r="M203" s="3">
        <v>3</v>
      </c>
    </row>
    <row r="204" spans="1:13">
      <c r="A204" t="s">
        <v>51</v>
      </c>
      <c r="B204" t="s">
        <v>243</v>
      </c>
      <c r="C204" t="str" cm="1">
        <f t="array" ref="C204">_xlfn.IFS(B204="Neemrana","Rajasthan",B204="Tadepalligudem","Andhra Pradesh",B204="Kolkata","West Bengal",B204="Unknown","Unknown",B204="Andheri East,Chakala","Mumbai",B204="Ahmadnagar","Maharastra",B204="Sri City","Andhra Pradesh",B204="Gurgaon","Haryana",B204="Ahmedbad","Gujarat",B204="Jaipur","Rajasthan",B204="Chennai","Tamil Nadu")</f>
        <v>Haryana</v>
      </c>
      <c r="D204" t="s">
        <v>3</v>
      </c>
      <c r="E204" t="s">
        <v>25</v>
      </c>
      <c r="F204" s="2">
        <v>44958</v>
      </c>
      <c r="G204" s="3">
        <v>4</v>
      </c>
      <c r="H204" s="3">
        <v>3</v>
      </c>
      <c r="I204" s="3">
        <v>4</v>
      </c>
      <c r="J204" s="3">
        <v>3</v>
      </c>
      <c r="K204" s="3">
        <v>4</v>
      </c>
      <c r="L204" s="3">
        <v>3</v>
      </c>
      <c r="M204" s="3">
        <v>2</v>
      </c>
    </row>
    <row r="205" spans="1:13">
      <c r="A205" t="s">
        <v>137</v>
      </c>
      <c r="B205" t="s">
        <v>50</v>
      </c>
      <c r="C205" t="s">
        <v>50</v>
      </c>
      <c r="D205" t="s">
        <v>3</v>
      </c>
      <c r="E205" t="s">
        <v>114</v>
      </c>
      <c r="F205" s="2">
        <v>44899</v>
      </c>
      <c r="G205" s="3">
        <v>5</v>
      </c>
      <c r="H205" s="3">
        <v>5</v>
      </c>
      <c r="I205" s="3">
        <v>5</v>
      </c>
      <c r="J205" s="3">
        <v>5</v>
      </c>
      <c r="K205" s="3">
        <v>5</v>
      </c>
      <c r="L205" s="3">
        <v>5</v>
      </c>
      <c r="M205" s="3">
        <v>2</v>
      </c>
    </row>
    <row r="206" spans="1:13">
      <c r="A206" t="s">
        <v>1</v>
      </c>
      <c r="B206" t="s">
        <v>2</v>
      </c>
      <c r="C206" t="s">
        <v>198</v>
      </c>
      <c r="D206" t="s">
        <v>3</v>
      </c>
      <c r="E206" t="s">
        <v>12</v>
      </c>
      <c r="F206" s="2">
        <v>45109</v>
      </c>
      <c r="G206" s="3">
        <v>4</v>
      </c>
      <c r="H206" s="3">
        <v>4</v>
      </c>
      <c r="I206" s="3">
        <v>3</v>
      </c>
      <c r="J206" s="3">
        <v>2</v>
      </c>
      <c r="K206" s="3">
        <v>5</v>
      </c>
      <c r="L206" s="3">
        <v>5</v>
      </c>
      <c r="M206" s="3">
        <v>3</v>
      </c>
    </row>
    <row r="207" spans="1:13">
      <c r="A207" t="s">
        <v>1</v>
      </c>
      <c r="B207" t="s">
        <v>2</v>
      </c>
      <c r="C207" t="s">
        <v>198</v>
      </c>
      <c r="D207" t="s">
        <v>3</v>
      </c>
      <c r="E207" t="s">
        <v>12</v>
      </c>
      <c r="F207" s="2">
        <v>44874</v>
      </c>
      <c r="G207" s="3">
        <v>5</v>
      </c>
      <c r="H207" s="3">
        <v>5</v>
      </c>
      <c r="I207" s="3">
        <v>5</v>
      </c>
      <c r="J207" s="3">
        <v>5</v>
      </c>
      <c r="K207" s="3">
        <v>5</v>
      </c>
      <c r="L207" s="3">
        <v>5</v>
      </c>
      <c r="M207" s="3">
        <v>5</v>
      </c>
    </row>
    <row r="208" spans="1:13">
      <c r="A208" t="s">
        <v>16</v>
      </c>
      <c r="B208" t="s">
        <v>558</v>
      </c>
      <c r="C208" t="s">
        <v>558</v>
      </c>
      <c r="D208" t="s">
        <v>3</v>
      </c>
      <c r="E208" t="s">
        <v>15</v>
      </c>
      <c r="F208" s="2">
        <v>44899</v>
      </c>
      <c r="G208" s="3">
        <v>4</v>
      </c>
      <c r="H208" s="3">
        <v>5</v>
      </c>
      <c r="I208" s="3">
        <v>4</v>
      </c>
      <c r="J208" s="3">
        <v>4</v>
      </c>
      <c r="K208" s="3">
        <v>5</v>
      </c>
      <c r="L208" s="3">
        <v>4</v>
      </c>
      <c r="M208" s="3">
        <v>4</v>
      </c>
    </row>
    <row r="209" spans="1:13">
      <c r="A209" t="s">
        <v>7</v>
      </c>
      <c r="B209" t="s">
        <v>117</v>
      </c>
      <c r="C209" s="1" t="s">
        <v>572</v>
      </c>
      <c r="D209" t="s">
        <v>3</v>
      </c>
      <c r="E209" t="s">
        <v>25</v>
      </c>
      <c r="F209" s="2">
        <v>44874</v>
      </c>
      <c r="G209" s="3">
        <v>4</v>
      </c>
      <c r="H209" s="3">
        <v>3</v>
      </c>
      <c r="I209" s="3">
        <v>2</v>
      </c>
      <c r="J209" s="3">
        <v>3</v>
      </c>
      <c r="K209" s="3">
        <v>4</v>
      </c>
      <c r="L209" s="3">
        <v>3</v>
      </c>
      <c r="M209" s="3">
        <v>1</v>
      </c>
    </row>
    <row r="210" spans="1:13">
      <c r="A210" t="s">
        <v>138</v>
      </c>
      <c r="B210" t="s">
        <v>522</v>
      </c>
      <c r="C210" t="s">
        <v>586</v>
      </c>
      <c r="D210" t="s">
        <v>3</v>
      </c>
      <c r="E210" t="s">
        <v>23</v>
      </c>
      <c r="F210" s="2">
        <v>44805</v>
      </c>
      <c r="G210" s="3">
        <v>5</v>
      </c>
      <c r="H210" s="3">
        <v>5</v>
      </c>
      <c r="I210" s="3">
        <v>5</v>
      </c>
      <c r="J210" s="3">
        <v>5</v>
      </c>
      <c r="K210" s="3">
        <v>4</v>
      </c>
      <c r="L210" s="3">
        <v>4</v>
      </c>
      <c r="M210" s="3">
        <v>5</v>
      </c>
    </row>
    <row r="211" spans="1:13">
      <c r="A211" t="s">
        <v>134</v>
      </c>
      <c r="B211" t="s">
        <v>2</v>
      </c>
      <c r="C211" t="s">
        <v>198</v>
      </c>
      <c r="D211" t="s">
        <v>3</v>
      </c>
      <c r="E211" t="s">
        <v>139</v>
      </c>
      <c r="F211" s="2">
        <v>44963</v>
      </c>
      <c r="G211" s="3">
        <v>5</v>
      </c>
      <c r="H211" s="3">
        <v>5</v>
      </c>
      <c r="I211" s="3">
        <v>5</v>
      </c>
      <c r="J211" s="3">
        <v>5</v>
      </c>
      <c r="K211" s="3">
        <v>5</v>
      </c>
      <c r="L211" s="3">
        <v>5</v>
      </c>
      <c r="M211" s="3">
        <v>5</v>
      </c>
    </row>
    <row r="212" spans="1:13">
      <c r="A212" t="s">
        <v>554</v>
      </c>
      <c r="B212" t="s">
        <v>2</v>
      </c>
      <c r="C212" t="s">
        <v>198</v>
      </c>
      <c r="D212" t="s">
        <v>3</v>
      </c>
      <c r="E212" t="s">
        <v>140</v>
      </c>
      <c r="F212" s="2">
        <v>44873</v>
      </c>
      <c r="G212" s="3">
        <v>5</v>
      </c>
      <c r="H212" s="3">
        <v>4</v>
      </c>
      <c r="I212" s="3">
        <v>5</v>
      </c>
      <c r="J212" s="3">
        <v>3</v>
      </c>
      <c r="K212" s="3">
        <v>5</v>
      </c>
      <c r="L212" s="3">
        <v>5</v>
      </c>
      <c r="M212" s="3">
        <v>4</v>
      </c>
    </row>
    <row r="213" spans="1:13">
      <c r="A213" t="s">
        <v>77</v>
      </c>
      <c r="B213" t="s">
        <v>2</v>
      </c>
      <c r="C213" t="s">
        <v>198</v>
      </c>
      <c r="D213" t="s">
        <v>3</v>
      </c>
      <c r="E213" t="s">
        <v>558</v>
      </c>
      <c r="F213" s="2">
        <v>44837</v>
      </c>
      <c r="G213" s="3">
        <v>4</v>
      </c>
      <c r="H213" s="3">
        <v>3</v>
      </c>
      <c r="I213" s="3">
        <v>3</v>
      </c>
      <c r="J213" s="3">
        <v>3</v>
      </c>
      <c r="K213" s="3">
        <v>4</v>
      </c>
      <c r="L213" s="3">
        <v>4</v>
      </c>
      <c r="M213" s="3">
        <v>3</v>
      </c>
    </row>
    <row r="214" spans="1:13">
      <c r="A214" t="s">
        <v>626</v>
      </c>
      <c r="B214" t="s">
        <v>243</v>
      </c>
      <c r="C214" t="str" cm="1">
        <f t="array" ref="C214">_xlfn.IFS(B214="Neemrana","Rajasthan",B214="Tadepalligudem","Andhra Pradesh",B214="Kolkata","West Bengal",B214="Unknown","Unknown",B214="Andheri East,Chakala","Mumbai",B214="Ahmadnagar","Maharastra",B214="Sri City","Andhra Pradesh",B214="Gurgaon","Haryana",B214="Ahmedbad","Gujarat",B214="Jaipur","Rajasthan",B214="Chennai","Tamil Nadu")</f>
        <v>Haryana</v>
      </c>
      <c r="D214" t="s">
        <v>3</v>
      </c>
      <c r="E214" t="s">
        <v>141</v>
      </c>
      <c r="F214" s="2">
        <v>44621</v>
      </c>
      <c r="G214" s="3">
        <v>3</v>
      </c>
      <c r="H214" s="3">
        <v>2</v>
      </c>
      <c r="I214" s="3">
        <v>3</v>
      </c>
      <c r="J214" s="3">
        <v>1</v>
      </c>
      <c r="K214" s="3">
        <v>1</v>
      </c>
      <c r="L214" s="3">
        <v>5</v>
      </c>
      <c r="M214" s="3">
        <v>3</v>
      </c>
    </row>
    <row r="215" spans="1:13">
      <c r="A215" t="s">
        <v>77</v>
      </c>
      <c r="B215" t="s">
        <v>2</v>
      </c>
      <c r="C215" t="s">
        <v>198</v>
      </c>
      <c r="D215" t="s">
        <v>3</v>
      </c>
      <c r="E215" t="s">
        <v>12</v>
      </c>
      <c r="F215" s="2">
        <v>44989</v>
      </c>
      <c r="G215" s="3">
        <v>4</v>
      </c>
      <c r="H215" s="3">
        <v>4</v>
      </c>
      <c r="I215" s="3">
        <v>5</v>
      </c>
      <c r="J215" s="3">
        <v>4</v>
      </c>
      <c r="K215" s="3">
        <v>5</v>
      </c>
      <c r="L215" s="3">
        <v>5</v>
      </c>
      <c r="M215" s="3">
        <v>4</v>
      </c>
    </row>
    <row r="216" spans="1:13">
      <c r="A216" t="s">
        <v>107</v>
      </c>
      <c r="B216" t="s">
        <v>2</v>
      </c>
      <c r="C216" t="s">
        <v>198</v>
      </c>
      <c r="D216" t="s">
        <v>3</v>
      </c>
      <c r="E216" t="s">
        <v>4</v>
      </c>
      <c r="F216" s="2">
        <v>44842</v>
      </c>
      <c r="G216" s="3">
        <v>5</v>
      </c>
      <c r="H216" s="3">
        <v>4</v>
      </c>
      <c r="I216" s="3">
        <v>5</v>
      </c>
      <c r="J216" s="3">
        <v>4</v>
      </c>
      <c r="K216" s="3">
        <v>5</v>
      </c>
      <c r="L216" s="3">
        <v>4</v>
      </c>
      <c r="M216" s="3">
        <v>3</v>
      </c>
    </row>
    <row r="217" spans="1:13">
      <c r="A217" t="s">
        <v>625</v>
      </c>
      <c r="B217" t="s">
        <v>522</v>
      </c>
      <c r="C217" t="s">
        <v>586</v>
      </c>
      <c r="D217" t="s">
        <v>3</v>
      </c>
      <c r="E217" t="s">
        <v>59</v>
      </c>
      <c r="F217" s="2">
        <v>45047</v>
      </c>
      <c r="G217" s="3">
        <v>5</v>
      </c>
      <c r="H217" s="3">
        <v>5</v>
      </c>
      <c r="I217" s="3">
        <v>5</v>
      </c>
      <c r="J217" s="3">
        <v>5</v>
      </c>
      <c r="K217" s="3">
        <v>5</v>
      </c>
      <c r="L217" s="3">
        <v>5</v>
      </c>
      <c r="M217" s="3">
        <v>5</v>
      </c>
    </row>
    <row r="218" spans="1:13">
      <c r="A218" t="s">
        <v>652</v>
      </c>
      <c r="B218" t="s">
        <v>2</v>
      </c>
      <c r="C218" t="s">
        <v>198</v>
      </c>
      <c r="D218" t="s">
        <v>3</v>
      </c>
      <c r="E218" t="s">
        <v>4</v>
      </c>
      <c r="F218" s="2">
        <v>44777</v>
      </c>
      <c r="G218" s="3">
        <v>5</v>
      </c>
      <c r="H218" s="3">
        <v>4</v>
      </c>
      <c r="I218" s="3">
        <v>4</v>
      </c>
      <c r="J218" s="3">
        <v>3</v>
      </c>
      <c r="K218" s="3">
        <v>4</v>
      </c>
      <c r="L218" s="3">
        <v>4</v>
      </c>
      <c r="M218" s="3">
        <v>4</v>
      </c>
    </row>
    <row r="219" spans="1:13">
      <c r="A219" t="s">
        <v>1</v>
      </c>
      <c r="B219" t="s">
        <v>2</v>
      </c>
      <c r="C219" t="s">
        <v>198</v>
      </c>
      <c r="D219" t="s">
        <v>55</v>
      </c>
      <c r="E219" t="s">
        <v>12</v>
      </c>
      <c r="F219" s="2">
        <v>45053</v>
      </c>
      <c r="G219" s="3">
        <v>4</v>
      </c>
      <c r="H219" s="3">
        <v>4</v>
      </c>
      <c r="I219" s="3">
        <v>4</v>
      </c>
      <c r="J219" s="3">
        <v>3</v>
      </c>
      <c r="K219" s="3">
        <v>5</v>
      </c>
      <c r="L219" s="3">
        <v>4</v>
      </c>
      <c r="M219" s="3">
        <v>3</v>
      </c>
    </row>
    <row r="220" spans="1:13">
      <c r="A220" t="s">
        <v>30</v>
      </c>
      <c r="B220" t="s">
        <v>132</v>
      </c>
      <c r="C220" t="s">
        <v>358</v>
      </c>
      <c r="D220" t="s">
        <v>3</v>
      </c>
      <c r="E220" t="s">
        <v>23</v>
      </c>
      <c r="F220" s="2">
        <v>45053</v>
      </c>
      <c r="G220" s="3">
        <v>4</v>
      </c>
      <c r="H220" s="3">
        <v>4</v>
      </c>
      <c r="I220" s="3">
        <v>5</v>
      </c>
      <c r="J220" s="3">
        <v>5</v>
      </c>
      <c r="K220" s="3">
        <v>5</v>
      </c>
      <c r="L220" s="3">
        <v>5</v>
      </c>
      <c r="M220" s="3">
        <v>5</v>
      </c>
    </row>
    <row r="221" spans="1:13">
      <c r="A221" t="s">
        <v>1</v>
      </c>
      <c r="B221" t="s">
        <v>2</v>
      </c>
      <c r="C221" t="s">
        <v>198</v>
      </c>
      <c r="D221" t="s">
        <v>55</v>
      </c>
      <c r="E221" t="s">
        <v>4</v>
      </c>
      <c r="F221" s="2">
        <v>44810</v>
      </c>
      <c r="G221" s="3">
        <v>5</v>
      </c>
      <c r="H221" s="3">
        <v>4</v>
      </c>
      <c r="I221" s="3">
        <v>4</v>
      </c>
      <c r="J221" s="3">
        <v>4</v>
      </c>
      <c r="K221" s="3">
        <v>4</v>
      </c>
      <c r="L221" s="3">
        <v>5</v>
      </c>
      <c r="M221" s="3">
        <v>4</v>
      </c>
    </row>
    <row r="222" spans="1:13">
      <c r="A222" t="s">
        <v>558</v>
      </c>
      <c r="B222" t="s">
        <v>142</v>
      </c>
      <c r="C222" t="s">
        <v>579</v>
      </c>
      <c r="D222" t="s">
        <v>55</v>
      </c>
      <c r="E222" t="s">
        <v>143</v>
      </c>
      <c r="F222" s="2">
        <v>44899</v>
      </c>
      <c r="G222" s="3">
        <v>2</v>
      </c>
      <c r="H222" s="3">
        <v>1</v>
      </c>
      <c r="I222" s="3">
        <v>3</v>
      </c>
      <c r="J222" s="3">
        <v>3</v>
      </c>
      <c r="K222" s="3">
        <v>2</v>
      </c>
      <c r="L222" s="3">
        <v>4</v>
      </c>
      <c r="M222" s="3">
        <v>2</v>
      </c>
    </row>
    <row r="223" spans="1:13">
      <c r="A223" t="s">
        <v>144</v>
      </c>
      <c r="B223" t="s">
        <v>2</v>
      </c>
      <c r="C223" t="s">
        <v>198</v>
      </c>
      <c r="D223" t="s">
        <v>3</v>
      </c>
      <c r="E223" t="s">
        <v>26</v>
      </c>
      <c r="F223" s="2">
        <v>44958</v>
      </c>
      <c r="G223" s="3">
        <v>4</v>
      </c>
      <c r="H223" s="3">
        <v>5</v>
      </c>
      <c r="I223" s="3">
        <v>4</v>
      </c>
      <c r="J223" s="3">
        <v>5</v>
      </c>
      <c r="K223" s="3">
        <v>4</v>
      </c>
      <c r="L223" s="3">
        <v>4</v>
      </c>
      <c r="M223" s="3">
        <v>2</v>
      </c>
    </row>
    <row r="224" spans="1:13">
      <c r="A224" t="s">
        <v>105</v>
      </c>
      <c r="B224" t="s">
        <v>2</v>
      </c>
      <c r="C224" t="s">
        <v>198</v>
      </c>
      <c r="D224" t="s">
        <v>3</v>
      </c>
      <c r="E224" t="s">
        <v>20</v>
      </c>
      <c r="F224" s="2">
        <v>45024</v>
      </c>
      <c r="G224" s="3">
        <v>4</v>
      </c>
      <c r="H224" s="3">
        <v>4</v>
      </c>
      <c r="I224" s="3">
        <v>5</v>
      </c>
      <c r="J224" s="3">
        <v>3</v>
      </c>
      <c r="K224" s="3">
        <v>5</v>
      </c>
      <c r="L224" s="3">
        <v>5</v>
      </c>
      <c r="M224" s="3">
        <v>2</v>
      </c>
    </row>
    <row r="225" spans="1:13">
      <c r="A225" t="s">
        <v>145</v>
      </c>
      <c r="B225" t="s">
        <v>2</v>
      </c>
      <c r="C225" t="s">
        <v>198</v>
      </c>
      <c r="D225" t="s">
        <v>55</v>
      </c>
      <c r="E225" t="s">
        <v>141</v>
      </c>
      <c r="F225" s="2">
        <v>44897</v>
      </c>
      <c r="G225" s="3">
        <v>4</v>
      </c>
      <c r="H225" s="3">
        <v>5</v>
      </c>
      <c r="I225" s="3">
        <v>3</v>
      </c>
      <c r="J225" s="3">
        <v>3</v>
      </c>
      <c r="K225" s="3">
        <v>5</v>
      </c>
      <c r="L225" s="3">
        <v>4</v>
      </c>
      <c r="M225" s="3">
        <v>3</v>
      </c>
    </row>
    <row r="226" spans="1:13">
      <c r="A226" t="s">
        <v>33</v>
      </c>
      <c r="B226" t="s">
        <v>383</v>
      </c>
      <c r="C226" t="s">
        <v>582</v>
      </c>
      <c r="D226" t="s">
        <v>3</v>
      </c>
      <c r="E226" t="s">
        <v>146</v>
      </c>
      <c r="F226" s="2">
        <v>44931</v>
      </c>
      <c r="G226" s="3">
        <v>4</v>
      </c>
      <c r="H226" s="3">
        <v>3</v>
      </c>
      <c r="I226" s="3">
        <v>4</v>
      </c>
      <c r="J226" s="3">
        <v>3</v>
      </c>
      <c r="K226" s="3">
        <v>3</v>
      </c>
      <c r="L226" s="3">
        <v>3</v>
      </c>
      <c r="M226" s="3">
        <v>3</v>
      </c>
    </row>
    <row r="227" spans="1:13">
      <c r="A227" t="s">
        <v>602</v>
      </c>
      <c r="B227" t="s">
        <v>558</v>
      </c>
      <c r="C227" t="s">
        <v>558</v>
      </c>
      <c r="D227" t="s">
        <v>74</v>
      </c>
      <c r="E227" t="s">
        <v>80</v>
      </c>
      <c r="F227" s="2">
        <v>44962</v>
      </c>
      <c r="G227" s="3">
        <v>5</v>
      </c>
      <c r="H227" s="3">
        <v>5</v>
      </c>
      <c r="I227" s="3">
        <v>5</v>
      </c>
      <c r="J227" s="3">
        <v>5</v>
      </c>
      <c r="K227" s="3">
        <v>5</v>
      </c>
      <c r="L227" s="3">
        <v>5</v>
      </c>
      <c r="M227" s="3">
        <v>5</v>
      </c>
    </row>
    <row r="228" spans="1:13">
      <c r="A228" t="s">
        <v>549</v>
      </c>
      <c r="B228" t="s">
        <v>32</v>
      </c>
      <c r="C228" t="s">
        <v>567</v>
      </c>
      <c r="D228" t="s">
        <v>3</v>
      </c>
      <c r="E228" t="s">
        <v>43</v>
      </c>
      <c r="F228" s="2">
        <v>44896</v>
      </c>
      <c r="G228" s="3">
        <v>5</v>
      </c>
      <c r="H228" s="3">
        <v>4</v>
      </c>
      <c r="I228" s="3">
        <v>3</v>
      </c>
      <c r="J228" s="3">
        <v>4</v>
      </c>
      <c r="K228" s="3">
        <v>5</v>
      </c>
      <c r="L228" s="3">
        <v>5</v>
      </c>
      <c r="M228" s="3">
        <v>4</v>
      </c>
    </row>
    <row r="229" spans="1:13">
      <c r="A229" t="s">
        <v>1</v>
      </c>
      <c r="B229" t="s">
        <v>2</v>
      </c>
      <c r="C229" t="s">
        <v>198</v>
      </c>
      <c r="D229" t="s">
        <v>3</v>
      </c>
      <c r="E229" t="s">
        <v>12</v>
      </c>
      <c r="F229" s="2">
        <v>44720</v>
      </c>
      <c r="G229" s="3">
        <v>4</v>
      </c>
      <c r="H229" s="3">
        <v>5</v>
      </c>
      <c r="I229" s="3">
        <v>4</v>
      </c>
      <c r="J229" s="3">
        <v>3</v>
      </c>
      <c r="K229" s="3">
        <v>5</v>
      </c>
      <c r="L229" s="3">
        <v>4</v>
      </c>
      <c r="M229" s="3">
        <v>3</v>
      </c>
    </row>
    <row r="230" spans="1:13">
      <c r="A230" t="s">
        <v>115</v>
      </c>
      <c r="B230" t="s">
        <v>2</v>
      </c>
      <c r="C230" t="s">
        <v>198</v>
      </c>
      <c r="D230" t="s">
        <v>3</v>
      </c>
      <c r="E230" t="s">
        <v>558</v>
      </c>
      <c r="F230" s="2">
        <v>44872</v>
      </c>
      <c r="G230" s="3">
        <v>4</v>
      </c>
      <c r="H230" s="3">
        <v>3</v>
      </c>
      <c r="I230" s="3">
        <v>4</v>
      </c>
      <c r="J230" s="3">
        <v>3</v>
      </c>
      <c r="K230" s="3">
        <v>4</v>
      </c>
      <c r="L230" s="3">
        <v>4</v>
      </c>
      <c r="M230" s="3">
        <v>3</v>
      </c>
    </row>
    <row r="231" spans="1:13">
      <c r="A231" t="s">
        <v>147</v>
      </c>
      <c r="B231" t="s">
        <v>276</v>
      </c>
      <c r="C231" t="s">
        <v>579</v>
      </c>
      <c r="D231" t="s">
        <v>3</v>
      </c>
      <c r="E231" t="s">
        <v>148</v>
      </c>
      <c r="F231" s="2">
        <v>44896</v>
      </c>
      <c r="G231" s="3">
        <v>5</v>
      </c>
      <c r="H231" s="3">
        <v>4</v>
      </c>
      <c r="I231" s="3">
        <v>4</v>
      </c>
      <c r="J231" s="3">
        <v>2</v>
      </c>
      <c r="K231" s="3">
        <v>1</v>
      </c>
      <c r="L231" s="3">
        <v>4</v>
      </c>
      <c r="M231" s="3">
        <v>3</v>
      </c>
    </row>
    <row r="232" spans="1:13">
      <c r="A232" t="s">
        <v>535</v>
      </c>
      <c r="B232" t="s">
        <v>2</v>
      </c>
      <c r="C232" t="s">
        <v>198</v>
      </c>
      <c r="D232" t="s">
        <v>3</v>
      </c>
      <c r="E232" t="s">
        <v>539</v>
      </c>
      <c r="F232" s="2">
        <v>44898</v>
      </c>
      <c r="G232" s="3">
        <v>5</v>
      </c>
      <c r="H232" s="3">
        <v>5</v>
      </c>
      <c r="I232" s="3">
        <v>5</v>
      </c>
      <c r="J232" s="3">
        <v>5</v>
      </c>
      <c r="K232" s="3">
        <v>5</v>
      </c>
      <c r="L232" s="3">
        <v>5</v>
      </c>
      <c r="M232" s="3">
        <v>5</v>
      </c>
    </row>
    <row r="233" spans="1:13">
      <c r="A233" t="s">
        <v>558</v>
      </c>
      <c r="B233" t="s">
        <v>2</v>
      </c>
      <c r="C233" t="s">
        <v>198</v>
      </c>
      <c r="D233" t="s">
        <v>3</v>
      </c>
      <c r="E233" t="s">
        <v>20</v>
      </c>
      <c r="F233" s="2">
        <v>44993</v>
      </c>
      <c r="G233" s="3">
        <v>5</v>
      </c>
      <c r="H233" s="3">
        <v>4</v>
      </c>
      <c r="I233" s="3">
        <v>4</v>
      </c>
      <c r="J233" s="3">
        <v>3</v>
      </c>
      <c r="K233" s="3">
        <v>5</v>
      </c>
      <c r="L233" s="3">
        <v>5</v>
      </c>
      <c r="M233" s="3">
        <v>4</v>
      </c>
    </row>
    <row r="234" spans="1:13">
      <c r="A234" t="s">
        <v>1</v>
      </c>
      <c r="B234" t="s">
        <v>2</v>
      </c>
      <c r="C234" t="s">
        <v>198</v>
      </c>
      <c r="D234" t="s">
        <v>3</v>
      </c>
      <c r="E234" t="s">
        <v>12</v>
      </c>
      <c r="F234" s="2">
        <v>44898</v>
      </c>
      <c r="G234" s="3">
        <v>5</v>
      </c>
      <c r="H234" s="3">
        <v>5</v>
      </c>
      <c r="I234" s="3">
        <v>5</v>
      </c>
      <c r="J234" s="3">
        <v>5</v>
      </c>
      <c r="K234" s="3">
        <v>5</v>
      </c>
      <c r="L234" s="3">
        <v>5</v>
      </c>
      <c r="M234" s="3">
        <v>5</v>
      </c>
    </row>
    <row r="235" spans="1:13">
      <c r="A235" t="s">
        <v>624</v>
      </c>
      <c r="B235" t="s">
        <v>2</v>
      </c>
      <c r="C235" t="s">
        <v>198</v>
      </c>
      <c r="D235" t="s">
        <v>3</v>
      </c>
      <c r="E235" t="s">
        <v>23</v>
      </c>
      <c r="F235" s="2">
        <v>44874</v>
      </c>
      <c r="G235" s="3">
        <v>4</v>
      </c>
      <c r="H235" s="3">
        <v>4</v>
      </c>
      <c r="I235" s="3">
        <v>5</v>
      </c>
      <c r="J235" s="3">
        <v>3</v>
      </c>
      <c r="K235" s="3">
        <v>4</v>
      </c>
      <c r="L235" s="3">
        <v>4</v>
      </c>
      <c r="M235" s="3">
        <v>3</v>
      </c>
    </row>
    <row r="236" spans="1:13">
      <c r="A236" t="s">
        <v>1</v>
      </c>
      <c r="B236" t="s">
        <v>2</v>
      </c>
      <c r="C236" t="s">
        <v>198</v>
      </c>
      <c r="D236" t="s">
        <v>3</v>
      </c>
      <c r="E236" t="s">
        <v>139</v>
      </c>
      <c r="F236" s="2">
        <v>44774</v>
      </c>
      <c r="G236" s="3">
        <v>5</v>
      </c>
      <c r="H236" s="3">
        <v>4</v>
      </c>
      <c r="I236" s="3">
        <v>4</v>
      </c>
      <c r="J236" s="3">
        <v>4</v>
      </c>
      <c r="K236" s="3">
        <v>5</v>
      </c>
      <c r="L236" s="3">
        <v>5</v>
      </c>
      <c r="M236" s="3">
        <v>3</v>
      </c>
    </row>
    <row r="237" spans="1:13">
      <c r="A237" t="s">
        <v>1</v>
      </c>
      <c r="B237" t="s">
        <v>2</v>
      </c>
      <c r="C237" t="s">
        <v>198</v>
      </c>
      <c r="D237" t="s">
        <v>3</v>
      </c>
      <c r="E237" t="s">
        <v>26</v>
      </c>
      <c r="F237" s="2">
        <v>44808</v>
      </c>
      <c r="G237" s="3">
        <v>3</v>
      </c>
      <c r="H237" s="3">
        <v>3</v>
      </c>
      <c r="I237" s="3">
        <v>2</v>
      </c>
      <c r="J237" s="3">
        <v>2</v>
      </c>
      <c r="K237" s="3">
        <v>5</v>
      </c>
      <c r="L237" s="3">
        <v>4</v>
      </c>
      <c r="M237" s="3">
        <v>2</v>
      </c>
    </row>
    <row r="238" spans="1:13">
      <c r="A238" t="s">
        <v>105</v>
      </c>
      <c r="B238" t="s">
        <v>2</v>
      </c>
      <c r="C238" t="s">
        <v>198</v>
      </c>
      <c r="D238" t="s">
        <v>3</v>
      </c>
      <c r="E238" t="s">
        <v>12</v>
      </c>
      <c r="F238" s="2">
        <v>44839</v>
      </c>
      <c r="G238" s="3">
        <v>4</v>
      </c>
      <c r="H238" s="3">
        <v>5</v>
      </c>
      <c r="I238" s="3">
        <v>3</v>
      </c>
      <c r="J238" s="3">
        <v>3</v>
      </c>
      <c r="K238" s="3">
        <v>5</v>
      </c>
      <c r="L238" s="3">
        <v>5</v>
      </c>
      <c r="M238" s="3">
        <v>3</v>
      </c>
    </row>
    <row r="239" spans="1:13">
      <c r="A239" t="s">
        <v>149</v>
      </c>
      <c r="B239" t="s">
        <v>50</v>
      </c>
      <c r="C239" t="s">
        <v>50</v>
      </c>
      <c r="D239" t="s">
        <v>3</v>
      </c>
      <c r="E239" t="s">
        <v>25</v>
      </c>
      <c r="F239" s="2">
        <v>44896</v>
      </c>
      <c r="G239" s="3">
        <v>5</v>
      </c>
      <c r="H239" s="3">
        <v>5</v>
      </c>
      <c r="I239" s="3">
        <v>5</v>
      </c>
      <c r="J239" s="3">
        <v>4</v>
      </c>
      <c r="K239" s="3">
        <v>5</v>
      </c>
      <c r="L239" s="3">
        <v>5</v>
      </c>
      <c r="M239" s="3">
        <v>4</v>
      </c>
    </row>
    <row r="240" spans="1:13">
      <c r="A240" t="s">
        <v>150</v>
      </c>
      <c r="B240" t="s">
        <v>519</v>
      </c>
      <c r="C240" t="s">
        <v>581</v>
      </c>
      <c r="D240" t="s">
        <v>3</v>
      </c>
      <c r="E240" t="s">
        <v>135</v>
      </c>
      <c r="F240" s="2">
        <v>44776</v>
      </c>
      <c r="G240" s="3">
        <v>5</v>
      </c>
      <c r="H240" s="3">
        <v>5</v>
      </c>
      <c r="I240" s="3">
        <v>5</v>
      </c>
      <c r="J240" s="3">
        <v>5</v>
      </c>
      <c r="K240" s="3">
        <v>5</v>
      </c>
      <c r="L240" s="3">
        <v>5</v>
      </c>
      <c r="M240" s="3">
        <v>5</v>
      </c>
    </row>
    <row r="241" spans="1:13">
      <c r="A241" t="s">
        <v>151</v>
      </c>
      <c r="B241" t="s">
        <v>558</v>
      </c>
      <c r="C241" t="s">
        <v>558</v>
      </c>
      <c r="D241" t="s">
        <v>3</v>
      </c>
      <c r="E241" t="s">
        <v>26</v>
      </c>
      <c r="F241" s="2">
        <v>45054</v>
      </c>
      <c r="G241" s="3">
        <v>4</v>
      </c>
      <c r="H241" s="3">
        <v>4</v>
      </c>
      <c r="I241" s="3">
        <v>4</v>
      </c>
      <c r="J241" s="3">
        <v>4</v>
      </c>
      <c r="K241" s="3">
        <v>4</v>
      </c>
      <c r="L241" s="3">
        <v>4</v>
      </c>
      <c r="M241" s="3">
        <v>4</v>
      </c>
    </row>
    <row r="242" spans="1:13">
      <c r="A242" t="s">
        <v>561</v>
      </c>
      <c r="B242" t="s">
        <v>2</v>
      </c>
      <c r="C242" t="s">
        <v>198</v>
      </c>
      <c r="D242" t="s">
        <v>3</v>
      </c>
      <c r="E242" t="s">
        <v>15</v>
      </c>
      <c r="F242" s="2">
        <v>44898</v>
      </c>
      <c r="G242" s="3">
        <v>4</v>
      </c>
      <c r="H242" s="3">
        <v>5</v>
      </c>
      <c r="I242" s="3">
        <v>5</v>
      </c>
      <c r="J242" s="3">
        <v>5</v>
      </c>
      <c r="K242" s="3">
        <v>5</v>
      </c>
      <c r="L242" s="3">
        <v>5</v>
      </c>
      <c r="M242" s="3">
        <v>3</v>
      </c>
    </row>
    <row r="243" spans="1:13">
      <c r="A243" t="s">
        <v>152</v>
      </c>
      <c r="B243" t="s">
        <v>526</v>
      </c>
      <c r="C243" t="s">
        <v>623</v>
      </c>
      <c r="D243" t="s">
        <v>3</v>
      </c>
      <c r="E243" t="s">
        <v>23</v>
      </c>
      <c r="F243" s="2">
        <v>44966</v>
      </c>
      <c r="G243" s="3">
        <v>5</v>
      </c>
      <c r="H243" s="3">
        <v>5</v>
      </c>
      <c r="I243" s="3">
        <v>5</v>
      </c>
      <c r="J243" s="3">
        <v>3</v>
      </c>
      <c r="K243" s="3">
        <v>3</v>
      </c>
      <c r="L243" s="3">
        <v>5</v>
      </c>
      <c r="M243" s="3">
        <v>5</v>
      </c>
    </row>
    <row r="244" spans="1:13">
      <c r="A244" t="s">
        <v>153</v>
      </c>
      <c r="B244" t="s">
        <v>2</v>
      </c>
      <c r="C244" t="s">
        <v>198</v>
      </c>
      <c r="D244" t="s">
        <v>3</v>
      </c>
      <c r="E244" t="s">
        <v>52</v>
      </c>
      <c r="F244" s="2">
        <v>44901</v>
      </c>
      <c r="G244" s="3">
        <v>3</v>
      </c>
      <c r="H244" s="3">
        <v>4</v>
      </c>
      <c r="I244" s="3">
        <v>3</v>
      </c>
      <c r="J244" s="3">
        <v>3</v>
      </c>
      <c r="K244" s="3">
        <v>4</v>
      </c>
      <c r="L244" s="3">
        <v>3</v>
      </c>
      <c r="M244" s="3">
        <v>3</v>
      </c>
    </row>
    <row r="245" spans="1:13">
      <c r="A245" t="s">
        <v>115</v>
      </c>
      <c r="B245" t="s">
        <v>2</v>
      </c>
      <c r="C245" t="s">
        <v>198</v>
      </c>
      <c r="D245" t="s">
        <v>45</v>
      </c>
      <c r="E245" t="s">
        <v>4</v>
      </c>
      <c r="F245" s="2">
        <v>44774</v>
      </c>
      <c r="G245" s="3">
        <v>5</v>
      </c>
      <c r="H245" s="3">
        <v>4</v>
      </c>
      <c r="I245" s="3">
        <v>4</v>
      </c>
      <c r="J245" s="3">
        <v>4</v>
      </c>
      <c r="K245" s="3">
        <v>5</v>
      </c>
      <c r="L245" s="3">
        <v>4</v>
      </c>
      <c r="M245" s="3">
        <v>4</v>
      </c>
    </row>
    <row r="246" spans="1:13">
      <c r="A246" t="s">
        <v>90</v>
      </c>
      <c r="B246" t="s">
        <v>2</v>
      </c>
      <c r="C246" t="s">
        <v>198</v>
      </c>
      <c r="D246" t="s">
        <v>3</v>
      </c>
      <c r="E246" t="s">
        <v>23</v>
      </c>
      <c r="F246" s="2">
        <v>44903</v>
      </c>
      <c r="G246" s="3">
        <v>3</v>
      </c>
      <c r="H246" s="3">
        <v>4</v>
      </c>
      <c r="I246" s="3">
        <v>3</v>
      </c>
      <c r="J246" s="3">
        <v>3</v>
      </c>
      <c r="K246" s="3">
        <v>5</v>
      </c>
      <c r="L246" s="3">
        <v>3</v>
      </c>
      <c r="M246" s="3">
        <v>3</v>
      </c>
    </row>
    <row r="247" spans="1:13">
      <c r="A247" t="s">
        <v>154</v>
      </c>
      <c r="B247" t="s">
        <v>556</v>
      </c>
      <c r="C247" t="s">
        <v>580</v>
      </c>
      <c r="D247" t="s">
        <v>3</v>
      </c>
      <c r="E247" t="s">
        <v>155</v>
      </c>
      <c r="F247" s="2">
        <v>44872</v>
      </c>
      <c r="G247" s="3">
        <v>5</v>
      </c>
      <c r="H247" s="3">
        <v>4</v>
      </c>
      <c r="I247" s="3">
        <v>5</v>
      </c>
      <c r="J247" s="3">
        <v>4</v>
      </c>
      <c r="K247" s="3">
        <v>5</v>
      </c>
      <c r="L247" s="3">
        <v>4</v>
      </c>
      <c r="M247" s="3">
        <v>4</v>
      </c>
    </row>
    <row r="248" spans="1:13">
      <c r="A248" t="s">
        <v>558</v>
      </c>
      <c r="B248" t="s">
        <v>2</v>
      </c>
      <c r="C248" t="s">
        <v>198</v>
      </c>
      <c r="D248" t="s">
        <v>3</v>
      </c>
      <c r="E248" t="s">
        <v>4</v>
      </c>
      <c r="F248" s="2">
        <v>44871</v>
      </c>
      <c r="G248" s="3">
        <v>5</v>
      </c>
      <c r="H248" s="3">
        <v>5</v>
      </c>
      <c r="I248" s="3">
        <v>5</v>
      </c>
      <c r="J248" s="3">
        <v>5</v>
      </c>
      <c r="K248" s="3">
        <v>5</v>
      </c>
      <c r="L248" s="3">
        <v>5</v>
      </c>
      <c r="M248" s="3">
        <v>5</v>
      </c>
    </row>
    <row r="249" spans="1:13">
      <c r="A249" t="s">
        <v>35</v>
      </c>
      <c r="B249" t="s">
        <v>132</v>
      </c>
      <c r="C249" t="s">
        <v>358</v>
      </c>
      <c r="D249" t="s">
        <v>3</v>
      </c>
      <c r="E249" t="s">
        <v>23</v>
      </c>
      <c r="F249" s="2">
        <v>44866</v>
      </c>
      <c r="G249" s="3">
        <v>5</v>
      </c>
      <c r="H249" s="3">
        <v>5</v>
      </c>
      <c r="I249" s="3">
        <v>5</v>
      </c>
      <c r="J249" s="3">
        <v>5</v>
      </c>
      <c r="K249" s="3">
        <v>5</v>
      </c>
      <c r="L249" s="3">
        <v>5</v>
      </c>
      <c r="M249" s="3">
        <v>5</v>
      </c>
    </row>
    <row r="250" spans="1:13">
      <c r="A250" t="s">
        <v>105</v>
      </c>
      <c r="B250" t="s">
        <v>2</v>
      </c>
      <c r="C250" t="s">
        <v>198</v>
      </c>
      <c r="D250" t="s">
        <v>3</v>
      </c>
      <c r="E250" t="s">
        <v>20</v>
      </c>
      <c r="F250" s="2">
        <v>44927</v>
      </c>
      <c r="G250" s="3">
        <v>4</v>
      </c>
      <c r="H250" s="3">
        <v>4</v>
      </c>
      <c r="I250" s="3">
        <v>2</v>
      </c>
      <c r="J250" s="3">
        <v>3</v>
      </c>
      <c r="K250" s="3">
        <v>5</v>
      </c>
      <c r="L250" s="3">
        <v>5</v>
      </c>
      <c r="M250" s="3">
        <v>2</v>
      </c>
    </row>
    <row r="251" spans="1:13">
      <c r="A251" t="s">
        <v>558</v>
      </c>
      <c r="B251" t="s">
        <v>2</v>
      </c>
      <c r="C251" t="s">
        <v>198</v>
      </c>
      <c r="D251" t="s">
        <v>3</v>
      </c>
      <c r="E251" t="s">
        <v>653</v>
      </c>
      <c r="F251" s="2">
        <v>44805</v>
      </c>
      <c r="G251" s="3">
        <v>5</v>
      </c>
      <c r="H251" s="3">
        <v>3</v>
      </c>
      <c r="I251" s="3">
        <v>4</v>
      </c>
      <c r="J251" s="3">
        <v>3</v>
      </c>
      <c r="K251" s="3">
        <v>4</v>
      </c>
      <c r="L251" s="3">
        <v>4</v>
      </c>
      <c r="M251" s="3">
        <v>2</v>
      </c>
    </row>
    <row r="252" spans="1:13">
      <c r="A252" t="s">
        <v>156</v>
      </c>
      <c r="B252" t="s">
        <v>2</v>
      </c>
      <c r="C252" t="s">
        <v>198</v>
      </c>
      <c r="D252" t="s">
        <v>3</v>
      </c>
      <c r="E252" t="s">
        <v>79</v>
      </c>
      <c r="F252" s="2">
        <v>45053</v>
      </c>
      <c r="G252" s="3">
        <v>3</v>
      </c>
      <c r="H252" s="3">
        <v>4</v>
      </c>
      <c r="I252" s="3">
        <v>3</v>
      </c>
      <c r="J252" s="3">
        <v>4</v>
      </c>
      <c r="K252" s="3">
        <v>4</v>
      </c>
      <c r="L252" s="3">
        <v>4</v>
      </c>
      <c r="M252" s="3">
        <v>3</v>
      </c>
    </row>
    <row r="253" spans="1:13">
      <c r="A253" t="s">
        <v>157</v>
      </c>
      <c r="B253" t="s">
        <v>78</v>
      </c>
      <c r="C253" t="s">
        <v>569</v>
      </c>
      <c r="D253" t="s">
        <v>3</v>
      </c>
      <c r="E253" t="s">
        <v>34</v>
      </c>
      <c r="F253" s="2">
        <v>44958</v>
      </c>
      <c r="G253" s="3">
        <v>5</v>
      </c>
      <c r="H253" s="3">
        <v>4</v>
      </c>
      <c r="I253" s="3">
        <v>4</v>
      </c>
      <c r="J253" s="3">
        <v>4</v>
      </c>
      <c r="K253" s="3">
        <v>5</v>
      </c>
      <c r="L253" s="3">
        <v>5</v>
      </c>
      <c r="M253" s="3">
        <v>4</v>
      </c>
    </row>
    <row r="254" spans="1:13">
      <c r="A254" t="s">
        <v>1</v>
      </c>
      <c r="B254" t="s">
        <v>2</v>
      </c>
      <c r="C254" t="s">
        <v>198</v>
      </c>
      <c r="D254" t="s">
        <v>3</v>
      </c>
      <c r="E254" t="s">
        <v>12</v>
      </c>
      <c r="F254" s="2">
        <v>44751</v>
      </c>
      <c r="G254" s="3">
        <v>4</v>
      </c>
      <c r="H254" s="3">
        <v>4</v>
      </c>
      <c r="I254" s="3">
        <v>3</v>
      </c>
      <c r="J254" s="3">
        <v>4</v>
      </c>
      <c r="K254" s="3">
        <v>5</v>
      </c>
      <c r="L254" s="3">
        <v>4</v>
      </c>
      <c r="M254" s="3">
        <v>4</v>
      </c>
    </row>
    <row r="255" spans="1:13">
      <c r="A255" t="s">
        <v>30</v>
      </c>
      <c r="B255" t="s">
        <v>563</v>
      </c>
      <c r="C255" t="s">
        <v>572</v>
      </c>
      <c r="D255" t="s">
        <v>3</v>
      </c>
      <c r="E255" t="s">
        <v>12</v>
      </c>
      <c r="F255" s="2">
        <v>44872</v>
      </c>
      <c r="G255" s="3">
        <v>5</v>
      </c>
      <c r="H255" s="3">
        <v>5</v>
      </c>
      <c r="I255" s="3">
        <v>4</v>
      </c>
      <c r="J255" s="3">
        <v>5</v>
      </c>
      <c r="K255" s="3">
        <v>4</v>
      </c>
      <c r="L255" s="3">
        <v>4</v>
      </c>
      <c r="M255" s="3">
        <v>5</v>
      </c>
    </row>
    <row r="256" spans="1:13">
      <c r="A256" t="s">
        <v>7</v>
      </c>
      <c r="B256" t="s">
        <v>558</v>
      </c>
      <c r="C256" t="s">
        <v>558</v>
      </c>
      <c r="D256" t="s">
        <v>3</v>
      </c>
      <c r="E256" t="s">
        <v>79</v>
      </c>
      <c r="F256" s="2">
        <v>44810</v>
      </c>
      <c r="G256" s="3">
        <v>3</v>
      </c>
      <c r="H256" s="3">
        <v>5</v>
      </c>
      <c r="I256" s="3">
        <v>3</v>
      </c>
      <c r="J256" s="3">
        <v>2</v>
      </c>
      <c r="K256" s="3">
        <v>5</v>
      </c>
      <c r="L256" s="3">
        <v>5</v>
      </c>
      <c r="M256" s="3">
        <v>3</v>
      </c>
    </row>
    <row r="257" spans="1:13">
      <c r="A257" t="s">
        <v>126</v>
      </c>
      <c r="B257" t="s">
        <v>528</v>
      </c>
      <c r="C257" t="s">
        <v>572</v>
      </c>
      <c r="D257" t="s">
        <v>3</v>
      </c>
      <c r="E257" t="s">
        <v>158</v>
      </c>
      <c r="F257" s="2">
        <v>44836</v>
      </c>
      <c r="G257" s="3">
        <v>4</v>
      </c>
      <c r="H257" s="3">
        <v>4</v>
      </c>
      <c r="I257" s="3">
        <v>4</v>
      </c>
      <c r="J257" s="3">
        <v>4</v>
      </c>
      <c r="K257" s="3">
        <v>4</v>
      </c>
      <c r="L257" s="3">
        <v>4</v>
      </c>
      <c r="M257" s="3">
        <v>3</v>
      </c>
    </row>
    <row r="258" spans="1:13">
      <c r="A258" t="s">
        <v>30</v>
      </c>
      <c r="B258" t="s">
        <v>2</v>
      </c>
      <c r="C258" t="s">
        <v>198</v>
      </c>
      <c r="D258" t="s">
        <v>3</v>
      </c>
      <c r="E258" t="s">
        <v>26</v>
      </c>
      <c r="F258" s="2">
        <v>44774</v>
      </c>
      <c r="G258" s="3">
        <v>4</v>
      </c>
      <c r="H258" s="3">
        <v>4</v>
      </c>
      <c r="I258" s="3">
        <v>2</v>
      </c>
      <c r="J258" s="3">
        <v>3</v>
      </c>
      <c r="K258" s="3">
        <v>4</v>
      </c>
      <c r="L258" s="3">
        <v>3</v>
      </c>
      <c r="M258" s="3">
        <v>3</v>
      </c>
    </row>
    <row r="259" spans="1:13">
      <c r="A259" t="s">
        <v>159</v>
      </c>
      <c r="B259" t="s">
        <v>558</v>
      </c>
      <c r="C259" t="s">
        <v>558</v>
      </c>
      <c r="D259" t="s">
        <v>3</v>
      </c>
      <c r="E259" t="s">
        <v>63</v>
      </c>
      <c r="F259" s="2">
        <v>44868</v>
      </c>
      <c r="G259" s="3">
        <v>4</v>
      </c>
      <c r="H259" s="3">
        <v>3</v>
      </c>
      <c r="I259" s="3">
        <v>5</v>
      </c>
      <c r="J259" s="3">
        <v>3</v>
      </c>
      <c r="K259" s="3">
        <v>5</v>
      </c>
      <c r="L259" s="3">
        <v>5</v>
      </c>
      <c r="M259" s="3">
        <v>3</v>
      </c>
    </row>
    <row r="260" spans="1:13">
      <c r="A260" t="s">
        <v>282</v>
      </c>
      <c r="B260" t="s">
        <v>559</v>
      </c>
      <c r="C260" t="s">
        <v>569</v>
      </c>
      <c r="D260" t="s">
        <v>3</v>
      </c>
      <c r="E260" t="s">
        <v>146</v>
      </c>
      <c r="F260" s="2">
        <v>44813</v>
      </c>
      <c r="G260" s="3">
        <v>1</v>
      </c>
      <c r="H260" s="3">
        <v>1</v>
      </c>
      <c r="I260" s="3">
        <v>1</v>
      </c>
      <c r="J260" s="3">
        <v>1</v>
      </c>
      <c r="K260" s="3">
        <v>1</v>
      </c>
      <c r="L260" s="3">
        <v>1</v>
      </c>
      <c r="M260" s="3">
        <v>1</v>
      </c>
    </row>
    <row r="261" spans="1:13">
      <c r="A261" t="s">
        <v>16</v>
      </c>
      <c r="B261" t="s">
        <v>2</v>
      </c>
      <c r="C261" t="s">
        <v>198</v>
      </c>
      <c r="D261" t="s">
        <v>3</v>
      </c>
      <c r="E261" t="s">
        <v>23</v>
      </c>
      <c r="F261" s="2">
        <v>44805</v>
      </c>
      <c r="G261" s="3">
        <v>5</v>
      </c>
      <c r="H261" s="3">
        <v>4</v>
      </c>
      <c r="I261" s="3">
        <v>5</v>
      </c>
      <c r="J261" s="3">
        <v>4</v>
      </c>
      <c r="K261" s="3">
        <v>4</v>
      </c>
      <c r="L261" s="3">
        <v>4</v>
      </c>
      <c r="M261" s="3">
        <v>4</v>
      </c>
    </row>
    <row r="262" spans="1:13">
      <c r="A262" t="s">
        <v>160</v>
      </c>
      <c r="B262" t="s">
        <v>243</v>
      </c>
      <c r="C262" t="s">
        <v>574</v>
      </c>
      <c r="D262" t="s">
        <v>3</v>
      </c>
      <c r="E262" t="s">
        <v>4</v>
      </c>
      <c r="F262" s="2">
        <v>44747</v>
      </c>
      <c r="G262" s="3">
        <v>4</v>
      </c>
      <c r="H262" s="3">
        <v>3</v>
      </c>
      <c r="I262" s="3">
        <v>3</v>
      </c>
      <c r="J262" s="3">
        <v>3</v>
      </c>
      <c r="K262" s="3">
        <v>4</v>
      </c>
      <c r="L262" s="3">
        <v>4</v>
      </c>
      <c r="M262" s="3">
        <v>4</v>
      </c>
    </row>
    <row r="263" spans="1:13">
      <c r="A263" t="s">
        <v>654</v>
      </c>
      <c r="B263" t="s">
        <v>243</v>
      </c>
      <c r="C263" t="s">
        <v>574</v>
      </c>
      <c r="D263" t="s">
        <v>3</v>
      </c>
      <c r="E263" t="s">
        <v>25</v>
      </c>
      <c r="F263" s="2">
        <v>45019</v>
      </c>
      <c r="G263" s="3">
        <v>3</v>
      </c>
      <c r="H263" s="3">
        <v>3</v>
      </c>
      <c r="I263" s="3">
        <v>3</v>
      </c>
      <c r="J263" s="3">
        <v>3</v>
      </c>
      <c r="K263" s="3">
        <v>3</v>
      </c>
      <c r="L263" s="3">
        <v>3</v>
      </c>
      <c r="M263" s="3">
        <v>3</v>
      </c>
    </row>
    <row r="264" spans="1:13">
      <c r="A264" t="s">
        <v>123</v>
      </c>
      <c r="B264" t="s">
        <v>2</v>
      </c>
      <c r="C264" t="s">
        <v>198</v>
      </c>
      <c r="D264" t="s">
        <v>3</v>
      </c>
      <c r="E264" t="s">
        <v>23</v>
      </c>
      <c r="F264" s="2">
        <v>44779</v>
      </c>
      <c r="G264" s="3">
        <v>3</v>
      </c>
      <c r="H264" s="3">
        <v>4</v>
      </c>
      <c r="I264" s="3">
        <v>2</v>
      </c>
      <c r="J264" s="3">
        <v>2</v>
      </c>
      <c r="K264" s="3">
        <v>4</v>
      </c>
      <c r="L264" s="3">
        <v>3</v>
      </c>
      <c r="M264" s="3">
        <v>2</v>
      </c>
    </row>
    <row r="265" spans="1:13">
      <c r="A265" t="s">
        <v>535</v>
      </c>
      <c r="B265" t="s">
        <v>78</v>
      </c>
      <c r="C265" t="s">
        <v>569</v>
      </c>
      <c r="D265" t="s">
        <v>3</v>
      </c>
      <c r="E265" t="s">
        <v>161</v>
      </c>
      <c r="F265" s="2">
        <v>44839</v>
      </c>
      <c r="G265" s="3">
        <v>4</v>
      </c>
      <c r="H265" s="3">
        <v>4</v>
      </c>
      <c r="I265" s="3">
        <v>4</v>
      </c>
      <c r="J265" s="3">
        <v>4</v>
      </c>
      <c r="K265" s="3">
        <v>4</v>
      </c>
      <c r="L265" s="3">
        <v>4</v>
      </c>
      <c r="M265" s="3">
        <v>4</v>
      </c>
    </row>
    <row r="266" spans="1:13">
      <c r="A266" t="s">
        <v>157</v>
      </c>
      <c r="B266" t="s">
        <v>78</v>
      </c>
      <c r="C266" t="s">
        <v>569</v>
      </c>
      <c r="D266" t="s">
        <v>3</v>
      </c>
      <c r="E266" t="s">
        <v>162</v>
      </c>
      <c r="F266" s="2">
        <v>44873</v>
      </c>
      <c r="G266" s="3">
        <v>5</v>
      </c>
      <c r="H266" s="3">
        <v>4</v>
      </c>
      <c r="I266" s="3">
        <v>4</v>
      </c>
      <c r="J266" s="3">
        <v>3</v>
      </c>
      <c r="K266" s="3">
        <v>4</v>
      </c>
      <c r="L266" s="3">
        <v>4</v>
      </c>
      <c r="M266" s="3">
        <v>3</v>
      </c>
    </row>
    <row r="267" spans="1:13">
      <c r="A267" t="s">
        <v>19</v>
      </c>
      <c r="B267" t="s">
        <v>2</v>
      </c>
      <c r="C267" t="s">
        <v>198</v>
      </c>
      <c r="D267" t="s">
        <v>3</v>
      </c>
      <c r="E267" t="s">
        <v>61</v>
      </c>
      <c r="F267" s="2">
        <v>45175</v>
      </c>
      <c r="G267" s="3">
        <v>4</v>
      </c>
      <c r="H267" s="3">
        <v>4</v>
      </c>
      <c r="I267" s="3">
        <v>3</v>
      </c>
      <c r="J267" s="3">
        <v>3</v>
      </c>
      <c r="K267" s="3">
        <v>5</v>
      </c>
      <c r="L267" s="3">
        <v>4</v>
      </c>
      <c r="M267" s="3">
        <v>3</v>
      </c>
    </row>
    <row r="268" spans="1:13">
      <c r="A268" t="s">
        <v>30</v>
      </c>
      <c r="B268" t="s">
        <v>2</v>
      </c>
      <c r="C268" t="s">
        <v>198</v>
      </c>
      <c r="D268" t="s">
        <v>3</v>
      </c>
      <c r="E268" t="s">
        <v>15</v>
      </c>
      <c r="F268" s="2">
        <v>44838</v>
      </c>
      <c r="G268" s="3">
        <v>4</v>
      </c>
      <c r="H268" s="3">
        <v>4</v>
      </c>
      <c r="I268" s="3">
        <v>2</v>
      </c>
      <c r="J268" s="3">
        <v>3</v>
      </c>
      <c r="K268" s="3">
        <v>5</v>
      </c>
      <c r="L268" s="3">
        <v>3</v>
      </c>
      <c r="M268" s="3">
        <v>4</v>
      </c>
    </row>
    <row r="269" spans="1:13">
      <c r="A269" t="s">
        <v>164</v>
      </c>
      <c r="B269" t="s">
        <v>2</v>
      </c>
      <c r="C269" t="s">
        <v>198</v>
      </c>
      <c r="D269" t="s">
        <v>3</v>
      </c>
      <c r="E269" t="s">
        <v>165</v>
      </c>
      <c r="F269" s="2">
        <v>44777</v>
      </c>
      <c r="G269" s="3">
        <v>1</v>
      </c>
      <c r="H269" s="3">
        <v>3</v>
      </c>
      <c r="I269" s="3">
        <v>3</v>
      </c>
      <c r="J269" s="3">
        <v>1</v>
      </c>
      <c r="K269" s="3">
        <v>4</v>
      </c>
      <c r="L269" s="3">
        <v>1</v>
      </c>
      <c r="M269" s="3">
        <v>1</v>
      </c>
    </row>
    <row r="270" spans="1:13">
      <c r="A270" t="s">
        <v>166</v>
      </c>
      <c r="B270" t="s">
        <v>2</v>
      </c>
      <c r="C270" t="s">
        <v>198</v>
      </c>
      <c r="D270" t="s">
        <v>3</v>
      </c>
      <c r="E270" t="s">
        <v>139</v>
      </c>
      <c r="F270" s="2">
        <v>44777</v>
      </c>
      <c r="G270" s="3">
        <v>4</v>
      </c>
      <c r="H270" s="3">
        <v>5</v>
      </c>
      <c r="I270" s="3">
        <v>3</v>
      </c>
      <c r="J270" s="3">
        <v>4</v>
      </c>
      <c r="K270" s="3">
        <v>5</v>
      </c>
      <c r="L270" s="3">
        <v>5</v>
      </c>
      <c r="M270" s="3">
        <v>3</v>
      </c>
    </row>
    <row r="271" spans="1:13">
      <c r="A271" t="s">
        <v>167</v>
      </c>
      <c r="B271" t="s">
        <v>2</v>
      </c>
      <c r="C271" t="s">
        <v>198</v>
      </c>
      <c r="D271" t="s">
        <v>3</v>
      </c>
      <c r="E271" t="s">
        <v>12</v>
      </c>
      <c r="F271" s="2">
        <v>44841</v>
      </c>
      <c r="G271" s="3">
        <v>5</v>
      </c>
      <c r="H271" s="3">
        <v>5</v>
      </c>
      <c r="I271" s="3">
        <v>5</v>
      </c>
      <c r="J271" s="3">
        <v>5</v>
      </c>
      <c r="K271" s="3">
        <v>5</v>
      </c>
      <c r="L271" s="3">
        <v>5</v>
      </c>
      <c r="M271" s="3">
        <v>5</v>
      </c>
    </row>
    <row r="272" spans="1:13">
      <c r="A272" t="s">
        <v>77</v>
      </c>
      <c r="B272" t="s">
        <v>2</v>
      </c>
      <c r="C272" t="s">
        <v>198</v>
      </c>
      <c r="D272" t="s">
        <v>3</v>
      </c>
      <c r="E272" t="s">
        <v>4</v>
      </c>
      <c r="F272" s="2">
        <v>44684</v>
      </c>
      <c r="G272" s="3">
        <v>4</v>
      </c>
      <c r="H272" s="3">
        <v>2</v>
      </c>
      <c r="I272" s="3">
        <v>4</v>
      </c>
      <c r="J272" s="3">
        <v>3</v>
      </c>
      <c r="K272" s="3">
        <v>4</v>
      </c>
      <c r="L272" s="3">
        <v>4</v>
      </c>
      <c r="M272" s="3">
        <v>2</v>
      </c>
    </row>
    <row r="273" spans="1:13">
      <c r="A273" t="s">
        <v>168</v>
      </c>
      <c r="B273" t="s">
        <v>2</v>
      </c>
      <c r="C273" t="s">
        <v>198</v>
      </c>
      <c r="D273" t="s">
        <v>3</v>
      </c>
      <c r="E273" t="s">
        <v>99</v>
      </c>
      <c r="F273" s="2">
        <v>44721</v>
      </c>
      <c r="G273" s="3">
        <v>4</v>
      </c>
      <c r="H273" s="3">
        <v>4</v>
      </c>
      <c r="I273" s="3">
        <v>5</v>
      </c>
      <c r="J273" s="3">
        <v>3</v>
      </c>
      <c r="K273" s="3">
        <v>5</v>
      </c>
      <c r="L273" s="3">
        <v>5</v>
      </c>
      <c r="M273" s="3">
        <v>5</v>
      </c>
    </row>
    <row r="274" spans="1:13">
      <c r="A274" t="s">
        <v>169</v>
      </c>
      <c r="B274" t="s">
        <v>50</v>
      </c>
      <c r="C274" t="s">
        <v>50</v>
      </c>
      <c r="D274" t="s">
        <v>3</v>
      </c>
      <c r="E274" t="s">
        <v>558</v>
      </c>
      <c r="F274" s="2">
        <v>44843</v>
      </c>
      <c r="G274" s="3">
        <v>5</v>
      </c>
      <c r="H274" s="3">
        <v>3</v>
      </c>
      <c r="I274" s="3">
        <v>4</v>
      </c>
      <c r="J274" s="3">
        <v>4</v>
      </c>
      <c r="K274" s="3">
        <v>3</v>
      </c>
      <c r="L274" s="3">
        <v>5</v>
      </c>
      <c r="M274" s="3">
        <v>4</v>
      </c>
    </row>
    <row r="275" spans="1:13">
      <c r="A275" t="s">
        <v>170</v>
      </c>
      <c r="B275" t="s">
        <v>2</v>
      </c>
      <c r="C275" t="s">
        <v>198</v>
      </c>
      <c r="D275" t="s">
        <v>3</v>
      </c>
      <c r="E275" t="s">
        <v>122</v>
      </c>
      <c r="F275" s="2">
        <v>45146</v>
      </c>
      <c r="G275" s="3">
        <v>4</v>
      </c>
      <c r="H275" s="3">
        <v>4</v>
      </c>
      <c r="I275" s="3">
        <v>4</v>
      </c>
      <c r="J275" s="3">
        <v>3</v>
      </c>
      <c r="K275" s="3">
        <v>5</v>
      </c>
      <c r="L275" s="3">
        <v>4</v>
      </c>
      <c r="M275" s="3">
        <v>3</v>
      </c>
    </row>
    <row r="276" spans="1:13">
      <c r="A276" t="s">
        <v>171</v>
      </c>
      <c r="B276" t="s">
        <v>117</v>
      </c>
      <c r="C276" t="s">
        <v>572</v>
      </c>
      <c r="D276" t="s">
        <v>3</v>
      </c>
      <c r="E276" t="s">
        <v>59</v>
      </c>
      <c r="F276" s="2">
        <v>44869</v>
      </c>
      <c r="G276" s="3">
        <v>5</v>
      </c>
      <c r="H276" s="3">
        <v>5</v>
      </c>
      <c r="I276" s="3">
        <v>4</v>
      </c>
      <c r="J276" s="3">
        <v>5</v>
      </c>
      <c r="K276" s="3">
        <v>5</v>
      </c>
      <c r="L276" s="3">
        <v>5</v>
      </c>
      <c r="M276" s="3">
        <v>5</v>
      </c>
    </row>
    <row r="277" spans="1:13">
      <c r="A277" t="s">
        <v>172</v>
      </c>
      <c r="B277" t="s">
        <v>243</v>
      </c>
      <c r="C277" t="str" cm="1">
        <f t="array" ref="C277">_xlfn.IFS(B277="Neemrana","Rajasthan",B277="Tadepalligudem","Andhra Pradesh",B277="Kolkata","West Bengal",B277="Unknown","Unknown",B277="Andheri East,Chakala","Mumbai",B277="Ahmadnagar","Maharastra",B277="Sri City","Andhra Pradesh",B277="Gurgaon","Haryana",B277="Ahmedbad","Gujarat",B277="Jaipur","Rajasthan",B277="Chennai","Tamil Nadu")</f>
        <v>Haryana</v>
      </c>
      <c r="D277" t="s">
        <v>3</v>
      </c>
      <c r="E277" t="s">
        <v>148</v>
      </c>
      <c r="F277" s="2">
        <v>44777</v>
      </c>
      <c r="G277" s="3">
        <v>5</v>
      </c>
      <c r="H277" s="3">
        <v>4</v>
      </c>
      <c r="I277" s="3">
        <v>3</v>
      </c>
      <c r="J277" s="3">
        <v>3</v>
      </c>
      <c r="K277" s="3">
        <v>5</v>
      </c>
      <c r="L277" s="3">
        <v>3</v>
      </c>
      <c r="M277" s="3">
        <v>4</v>
      </c>
    </row>
    <row r="278" spans="1:13">
      <c r="A278" t="s">
        <v>173</v>
      </c>
      <c r="B278" t="s">
        <v>243</v>
      </c>
      <c r="C278" t="str" cm="1">
        <f t="array" ref="C278">_xlfn.IFS(B278="Neemrana","Rajasthan",B278="Tadepalligudem","Andhra Pradesh",B278="Kolkata","West Bengal",B278="Unknown","Unknown",B278="Andheri East,Chakala","Mumbai",B278="Ahmadnagar","Maharastra",B278="Sri City","Andhra Pradesh",B278="Gurgaon","Haryana",B278="Ahmedbad","Gujarat",B278="Jaipur","Rajasthan",B278="Chennai","Tamil Nadu")</f>
        <v>Haryana</v>
      </c>
      <c r="D278" t="s">
        <v>3</v>
      </c>
      <c r="E278" t="s">
        <v>14</v>
      </c>
      <c r="F278" s="2">
        <v>44992</v>
      </c>
      <c r="G278" s="3">
        <v>3</v>
      </c>
      <c r="H278" s="3">
        <v>3</v>
      </c>
      <c r="I278" s="3">
        <v>1</v>
      </c>
      <c r="J278" s="3">
        <v>3</v>
      </c>
      <c r="K278" s="3">
        <v>3</v>
      </c>
      <c r="L278" s="3">
        <v>1</v>
      </c>
      <c r="M278" s="3">
        <v>2</v>
      </c>
    </row>
    <row r="279" spans="1:13">
      <c r="A279" t="s">
        <v>76</v>
      </c>
      <c r="B279" t="s">
        <v>2</v>
      </c>
      <c r="C279" t="s">
        <v>198</v>
      </c>
      <c r="D279" t="s">
        <v>3</v>
      </c>
      <c r="E279" t="s">
        <v>174</v>
      </c>
      <c r="F279" s="2">
        <v>44713</v>
      </c>
      <c r="G279" s="3">
        <v>5</v>
      </c>
      <c r="H279" s="3">
        <v>5</v>
      </c>
      <c r="I279" s="3">
        <v>5</v>
      </c>
      <c r="J279" s="3">
        <v>5</v>
      </c>
      <c r="K279" s="3">
        <v>5</v>
      </c>
      <c r="L279" s="3">
        <v>5</v>
      </c>
      <c r="M279" s="3">
        <v>4</v>
      </c>
    </row>
    <row r="280" spans="1:13">
      <c r="A280" t="s">
        <v>1</v>
      </c>
      <c r="B280" t="s">
        <v>564</v>
      </c>
      <c r="C280" t="s">
        <v>50</v>
      </c>
      <c r="D280" t="s">
        <v>3</v>
      </c>
      <c r="E280" t="s">
        <v>139</v>
      </c>
      <c r="F280" s="2">
        <v>44721</v>
      </c>
      <c r="G280" s="3">
        <v>5</v>
      </c>
      <c r="H280" s="3">
        <v>5</v>
      </c>
      <c r="I280" s="3">
        <v>4</v>
      </c>
      <c r="J280" s="3">
        <v>4</v>
      </c>
      <c r="K280" s="3">
        <v>5</v>
      </c>
      <c r="L280" s="3">
        <v>5</v>
      </c>
      <c r="M280" s="3">
        <v>3</v>
      </c>
    </row>
    <row r="281" spans="1:13">
      <c r="A281" t="s">
        <v>535</v>
      </c>
      <c r="B281" t="s">
        <v>78</v>
      </c>
      <c r="C281" t="s">
        <v>569</v>
      </c>
      <c r="D281" t="s">
        <v>3</v>
      </c>
      <c r="E281" t="s">
        <v>161</v>
      </c>
      <c r="F281" s="2">
        <v>44837</v>
      </c>
      <c r="G281" s="3">
        <v>5</v>
      </c>
      <c r="H281" s="3">
        <v>5</v>
      </c>
      <c r="I281" s="3">
        <v>5</v>
      </c>
      <c r="J281" s="3">
        <v>5</v>
      </c>
      <c r="K281" s="3">
        <v>5</v>
      </c>
      <c r="L281" s="3">
        <v>5</v>
      </c>
      <c r="M281" s="3">
        <v>5</v>
      </c>
    </row>
    <row r="282" spans="1:13">
      <c r="A282" t="s">
        <v>105</v>
      </c>
      <c r="B282" t="s">
        <v>558</v>
      </c>
      <c r="C282" t="s">
        <v>558</v>
      </c>
      <c r="D282" t="s">
        <v>3</v>
      </c>
      <c r="E282" t="s">
        <v>558</v>
      </c>
      <c r="F282" s="2">
        <v>44896</v>
      </c>
      <c r="G282" s="3">
        <v>5</v>
      </c>
      <c r="H282" s="3">
        <v>5</v>
      </c>
      <c r="I282" s="3">
        <v>4</v>
      </c>
      <c r="J282" s="3">
        <v>3</v>
      </c>
      <c r="K282" s="3">
        <v>5</v>
      </c>
      <c r="L282" s="3">
        <v>5</v>
      </c>
      <c r="M282" s="3">
        <v>4</v>
      </c>
    </row>
    <row r="283" spans="1:13">
      <c r="A283" t="s">
        <v>7</v>
      </c>
      <c r="B283" t="s">
        <v>243</v>
      </c>
      <c r="C283" t="s">
        <v>574</v>
      </c>
      <c r="D283" t="s">
        <v>3</v>
      </c>
      <c r="E283" t="s">
        <v>175</v>
      </c>
      <c r="F283" s="2">
        <v>44866</v>
      </c>
      <c r="G283" s="3">
        <v>5</v>
      </c>
      <c r="H283" s="3">
        <v>5</v>
      </c>
      <c r="I283" s="3">
        <v>3</v>
      </c>
      <c r="J283" s="3">
        <v>4</v>
      </c>
      <c r="K283" s="3">
        <v>5</v>
      </c>
      <c r="L283" s="3">
        <v>3</v>
      </c>
      <c r="M283" s="3">
        <v>5</v>
      </c>
    </row>
    <row r="284" spans="1:13">
      <c r="A284" t="s">
        <v>176</v>
      </c>
      <c r="B284" t="s">
        <v>564</v>
      </c>
      <c r="C284" t="s">
        <v>50</v>
      </c>
      <c r="D284" t="s">
        <v>3</v>
      </c>
      <c r="E284" t="s">
        <v>23</v>
      </c>
      <c r="F284" s="2">
        <v>44743</v>
      </c>
      <c r="G284" s="3">
        <v>1</v>
      </c>
      <c r="H284" s="3">
        <v>1</v>
      </c>
      <c r="I284" s="3">
        <v>1</v>
      </c>
      <c r="J284" s="3">
        <v>1</v>
      </c>
      <c r="K284" s="3">
        <v>1</v>
      </c>
      <c r="L284" s="3">
        <v>1</v>
      </c>
      <c r="M284" s="3">
        <v>1</v>
      </c>
    </row>
    <row r="285" spans="1:13">
      <c r="A285" t="s">
        <v>540</v>
      </c>
      <c r="B285" t="s">
        <v>558</v>
      </c>
      <c r="C285" t="s">
        <v>558</v>
      </c>
      <c r="D285" t="s">
        <v>3</v>
      </c>
      <c r="E285" t="s">
        <v>177</v>
      </c>
      <c r="F285" s="2">
        <v>44687</v>
      </c>
      <c r="G285" s="3">
        <v>5</v>
      </c>
      <c r="H285" s="3">
        <v>5</v>
      </c>
      <c r="I285" s="3">
        <v>5</v>
      </c>
      <c r="J285" s="3">
        <v>5</v>
      </c>
      <c r="K285" s="3">
        <v>5</v>
      </c>
      <c r="L285" s="3">
        <v>4</v>
      </c>
      <c r="M285" s="3">
        <v>5</v>
      </c>
    </row>
    <row r="286" spans="1:13">
      <c r="A286" t="s">
        <v>126</v>
      </c>
      <c r="B286" t="s">
        <v>555</v>
      </c>
      <c r="C286" t="s">
        <v>50</v>
      </c>
      <c r="D286" t="s">
        <v>3</v>
      </c>
      <c r="E286" t="s">
        <v>627</v>
      </c>
      <c r="F286" s="2">
        <v>44900</v>
      </c>
      <c r="G286" s="3">
        <v>5</v>
      </c>
      <c r="H286" s="3">
        <v>5</v>
      </c>
      <c r="I286" s="3">
        <v>5</v>
      </c>
      <c r="J286" s="3">
        <v>5</v>
      </c>
      <c r="K286" s="3">
        <v>5</v>
      </c>
      <c r="L286" s="3">
        <v>5</v>
      </c>
      <c r="M286" s="3">
        <v>5</v>
      </c>
    </row>
    <row r="287" spans="1:13">
      <c r="A287" t="s">
        <v>1</v>
      </c>
      <c r="B287" t="s">
        <v>2</v>
      </c>
      <c r="C287" t="s">
        <v>198</v>
      </c>
      <c r="D287" t="s">
        <v>3</v>
      </c>
      <c r="E287" t="s">
        <v>109</v>
      </c>
      <c r="F287" s="2">
        <v>44868</v>
      </c>
      <c r="G287" s="3">
        <v>3</v>
      </c>
      <c r="H287" s="3">
        <v>3</v>
      </c>
      <c r="I287" s="3">
        <v>4</v>
      </c>
      <c r="J287" s="3">
        <v>4</v>
      </c>
      <c r="K287" s="3">
        <v>5</v>
      </c>
      <c r="L287" s="3">
        <v>4</v>
      </c>
      <c r="M287" s="3">
        <v>3</v>
      </c>
    </row>
    <row r="288" spans="1:13">
      <c r="A288" t="s">
        <v>178</v>
      </c>
      <c r="B288" t="s">
        <v>82</v>
      </c>
      <c r="C288" t="s">
        <v>566</v>
      </c>
      <c r="D288" t="s">
        <v>3</v>
      </c>
      <c r="E288" t="s">
        <v>61</v>
      </c>
      <c r="F288" s="2">
        <v>44751</v>
      </c>
      <c r="G288" s="3">
        <v>5</v>
      </c>
      <c r="H288" s="3">
        <v>5</v>
      </c>
      <c r="I288" s="3">
        <v>5</v>
      </c>
      <c r="J288" s="3">
        <v>5</v>
      </c>
      <c r="K288" s="3">
        <v>5</v>
      </c>
      <c r="L288" s="3">
        <v>5</v>
      </c>
      <c r="M288" s="3">
        <v>5</v>
      </c>
    </row>
    <row r="289" spans="1:13">
      <c r="A289" t="s">
        <v>7</v>
      </c>
      <c r="B289" t="s">
        <v>383</v>
      </c>
      <c r="C289" t="s">
        <v>582</v>
      </c>
      <c r="D289" t="s">
        <v>3</v>
      </c>
      <c r="E289" t="s">
        <v>627</v>
      </c>
      <c r="F289" s="2">
        <v>44776</v>
      </c>
      <c r="G289" s="3">
        <v>5</v>
      </c>
      <c r="H289" s="3">
        <v>4</v>
      </c>
      <c r="I289" s="3">
        <v>4</v>
      </c>
      <c r="J289" s="3">
        <v>4</v>
      </c>
      <c r="K289" s="3">
        <v>5</v>
      </c>
      <c r="L289" s="3">
        <v>4</v>
      </c>
      <c r="M289" s="3">
        <v>4</v>
      </c>
    </row>
    <row r="290" spans="1:13">
      <c r="A290" t="s">
        <v>1</v>
      </c>
      <c r="B290" t="s">
        <v>2</v>
      </c>
      <c r="C290" t="s">
        <v>198</v>
      </c>
      <c r="D290" t="s">
        <v>3</v>
      </c>
      <c r="E290" t="s">
        <v>12</v>
      </c>
      <c r="F290" s="2">
        <v>44776</v>
      </c>
      <c r="G290" s="3">
        <v>5</v>
      </c>
      <c r="H290" s="3">
        <v>5</v>
      </c>
      <c r="I290" s="3">
        <v>4</v>
      </c>
      <c r="J290" s="3">
        <v>3</v>
      </c>
      <c r="K290" s="3">
        <v>5</v>
      </c>
      <c r="L290" s="3">
        <v>5</v>
      </c>
      <c r="M290" s="3">
        <v>3</v>
      </c>
    </row>
    <row r="291" spans="1:13">
      <c r="A291" t="s">
        <v>179</v>
      </c>
      <c r="B291" t="s">
        <v>180</v>
      </c>
      <c r="C291" t="s">
        <v>567</v>
      </c>
      <c r="D291" t="s">
        <v>3</v>
      </c>
      <c r="E291" t="s">
        <v>12</v>
      </c>
      <c r="F291" s="2">
        <v>44539</v>
      </c>
      <c r="G291" s="3">
        <v>3</v>
      </c>
      <c r="H291" s="3">
        <v>2</v>
      </c>
      <c r="I291" s="3">
        <v>5</v>
      </c>
      <c r="J291" s="3">
        <v>4</v>
      </c>
      <c r="K291" s="3">
        <v>4</v>
      </c>
      <c r="L291" s="3">
        <v>5</v>
      </c>
      <c r="M291" s="3">
        <v>3</v>
      </c>
    </row>
    <row r="292" spans="1:13">
      <c r="A292" t="s">
        <v>16</v>
      </c>
      <c r="B292" t="s">
        <v>132</v>
      </c>
      <c r="C292" t="s">
        <v>358</v>
      </c>
      <c r="D292" t="s">
        <v>3</v>
      </c>
      <c r="E292" t="s">
        <v>558</v>
      </c>
      <c r="F292" s="2">
        <v>44867</v>
      </c>
      <c r="G292" s="3">
        <v>5</v>
      </c>
      <c r="H292" s="3">
        <v>5</v>
      </c>
      <c r="I292" s="3">
        <v>5</v>
      </c>
      <c r="J292" s="3">
        <v>5</v>
      </c>
      <c r="K292" s="3">
        <v>5</v>
      </c>
      <c r="L292" s="3">
        <v>5</v>
      </c>
      <c r="M292" s="3">
        <v>5</v>
      </c>
    </row>
    <row r="293" spans="1:13">
      <c r="A293" t="s">
        <v>181</v>
      </c>
      <c r="B293" t="s">
        <v>50</v>
      </c>
      <c r="C293" t="s">
        <v>50</v>
      </c>
      <c r="D293" t="s">
        <v>3</v>
      </c>
      <c r="E293" t="s">
        <v>619</v>
      </c>
      <c r="F293" s="2">
        <v>44660</v>
      </c>
      <c r="G293" s="3">
        <v>4</v>
      </c>
      <c r="H293" s="3">
        <v>5</v>
      </c>
      <c r="I293" s="3">
        <v>5</v>
      </c>
      <c r="J293" s="3">
        <v>3</v>
      </c>
      <c r="K293" s="3">
        <v>5</v>
      </c>
      <c r="L293" s="3">
        <v>4</v>
      </c>
      <c r="M293" s="3">
        <v>5</v>
      </c>
    </row>
    <row r="294" spans="1:13">
      <c r="A294" t="s">
        <v>170</v>
      </c>
      <c r="B294" t="s">
        <v>2</v>
      </c>
      <c r="C294" t="s">
        <v>198</v>
      </c>
      <c r="D294" t="s">
        <v>3</v>
      </c>
      <c r="E294" t="s">
        <v>558</v>
      </c>
      <c r="F294" s="2">
        <v>44777</v>
      </c>
      <c r="G294" s="3">
        <v>5</v>
      </c>
      <c r="H294" s="3">
        <v>5</v>
      </c>
      <c r="I294" s="3">
        <v>5</v>
      </c>
      <c r="J294" s="3">
        <v>5</v>
      </c>
      <c r="K294" s="3">
        <v>5</v>
      </c>
      <c r="L294" s="3">
        <v>5</v>
      </c>
      <c r="M294" s="3">
        <v>5</v>
      </c>
    </row>
    <row r="295" spans="1:13">
      <c r="A295" t="s">
        <v>1</v>
      </c>
      <c r="B295" t="s">
        <v>2</v>
      </c>
      <c r="C295" t="s">
        <v>198</v>
      </c>
      <c r="D295" t="s">
        <v>3</v>
      </c>
      <c r="E295" t="s">
        <v>139</v>
      </c>
      <c r="F295" s="2">
        <v>44839</v>
      </c>
      <c r="G295" s="3">
        <v>3</v>
      </c>
      <c r="H295" s="3">
        <v>2</v>
      </c>
      <c r="I295" s="3">
        <v>2</v>
      </c>
      <c r="J295" s="3">
        <v>2</v>
      </c>
      <c r="K295" s="3">
        <v>5</v>
      </c>
      <c r="L295" s="3">
        <v>3</v>
      </c>
      <c r="M295" s="3">
        <v>2</v>
      </c>
    </row>
    <row r="296" spans="1:13">
      <c r="A296" t="s">
        <v>7</v>
      </c>
      <c r="B296" t="s">
        <v>243</v>
      </c>
      <c r="C296" t="s">
        <v>574</v>
      </c>
      <c r="D296" t="s">
        <v>3</v>
      </c>
      <c r="E296" t="s">
        <v>43</v>
      </c>
      <c r="F296" s="2">
        <v>44744</v>
      </c>
      <c r="G296" s="3">
        <v>3</v>
      </c>
      <c r="H296" s="3">
        <v>4</v>
      </c>
      <c r="I296" s="3">
        <v>3</v>
      </c>
      <c r="J296" s="3">
        <v>2</v>
      </c>
      <c r="K296" s="3">
        <v>5</v>
      </c>
      <c r="L296" s="3">
        <v>3</v>
      </c>
      <c r="M296" s="3">
        <v>2</v>
      </c>
    </row>
    <row r="297" spans="1:13">
      <c r="A297" t="s">
        <v>31</v>
      </c>
      <c r="B297" t="s">
        <v>117</v>
      </c>
      <c r="C297" t="s">
        <v>572</v>
      </c>
      <c r="D297" t="s">
        <v>3</v>
      </c>
      <c r="E297" t="s">
        <v>60</v>
      </c>
      <c r="F297" s="2">
        <v>44774</v>
      </c>
      <c r="G297" s="3">
        <v>5</v>
      </c>
      <c r="H297" s="3">
        <v>5</v>
      </c>
      <c r="I297" s="3">
        <v>5</v>
      </c>
      <c r="J297" s="3">
        <v>5</v>
      </c>
      <c r="K297" s="3">
        <v>5</v>
      </c>
      <c r="L297" s="3">
        <v>5</v>
      </c>
      <c r="M297" s="3">
        <v>5</v>
      </c>
    </row>
    <row r="298" spans="1:13">
      <c r="A298" t="s">
        <v>183</v>
      </c>
      <c r="B298" t="s">
        <v>50</v>
      </c>
      <c r="C298" t="s">
        <v>50</v>
      </c>
      <c r="D298" t="s">
        <v>3</v>
      </c>
      <c r="E298" t="s">
        <v>139</v>
      </c>
      <c r="F298" s="2">
        <v>44720</v>
      </c>
      <c r="G298" s="3">
        <v>4</v>
      </c>
      <c r="H298" s="3">
        <v>4</v>
      </c>
      <c r="I298" s="3">
        <v>4</v>
      </c>
      <c r="J298" s="3">
        <v>4</v>
      </c>
      <c r="K298" s="3">
        <v>5</v>
      </c>
      <c r="L298" s="3">
        <v>4</v>
      </c>
      <c r="M298" s="3">
        <v>3</v>
      </c>
    </row>
    <row r="299" spans="1:13">
      <c r="A299" t="s">
        <v>28</v>
      </c>
      <c r="B299" t="s">
        <v>78</v>
      </c>
      <c r="C299" t="s">
        <v>569</v>
      </c>
      <c r="D299" t="s">
        <v>3</v>
      </c>
      <c r="E299" t="s">
        <v>619</v>
      </c>
      <c r="F299" s="2">
        <v>44660</v>
      </c>
      <c r="G299" s="3">
        <v>5</v>
      </c>
      <c r="H299" s="3">
        <v>4</v>
      </c>
      <c r="I299" s="3">
        <v>5</v>
      </c>
      <c r="J299" s="3">
        <v>4</v>
      </c>
      <c r="K299" s="3">
        <v>5</v>
      </c>
      <c r="L299" s="3">
        <v>4</v>
      </c>
      <c r="M299" s="3">
        <v>4</v>
      </c>
    </row>
    <row r="300" spans="1:13">
      <c r="A300" t="s">
        <v>1</v>
      </c>
      <c r="B300" t="s">
        <v>2</v>
      </c>
      <c r="C300" t="s">
        <v>198</v>
      </c>
      <c r="D300" t="s">
        <v>3</v>
      </c>
      <c r="E300" t="s">
        <v>12</v>
      </c>
      <c r="F300" s="2">
        <v>44776</v>
      </c>
      <c r="G300" s="3">
        <v>5</v>
      </c>
      <c r="H300" s="3">
        <v>4</v>
      </c>
      <c r="I300" s="3">
        <v>3</v>
      </c>
      <c r="J300" s="3">
        <v>3</v>
      </c>
      <c r="K300" s="3">
        <v>5</v>
      </c>
      <c r="L300" s="3">
        <v>5</v>
      </c>
      <c r="M300" s="3">
        <v>3</v>
      </c>
    </row>
    <row r="301" spans="1:13">
      <c r="A301" t="s">
        <v>1</v>
      </c>
      <c r="B301" t="s">
        <v>2</v>
      </c>
      <c r="C301" t="s">
        <v>198</v>
      </c>
      <c r="D301" t="s">
        <v>3</v>
      </c>
      <c r="E301" t="s">
        <v>184</v>
      </c>
      <c r="F301" s="2">
        <v>44719</v>
      </c>
      <c r="G301" s="3">
        <v>4</v>
      </c>
      <c r="H301" s="3">
        <v>3</v>
      </c>
      <c r="I301" s="3">
        <v>4</v>
      </c>
      <c r="J301" s="3">
        <v>3</v>
      </c>
      <c r="K301" s="3">
        <v>1</v>
      </c>
      <c r="L301" s="3">
        <v>4</v>
      </c>
      <c r="M301" s="3">
        <v>5</v>
      </c>
    </row>
    <row r="302" spans="1:13">
      <c r="A302" t="s">
        <v>1</v>
      </c>
      <c r="B302" t="s">
        <v>2</v>
      </c>
      <c r="C302" t="s">
        <v>198</v>
      </c>
      <c r="D302" t="s">
        <v>3</v>
      </c>
      <c r="E302" t="s">
        <v>12</v>
      </c>
      <c r="F302" s="2">
        <v>44809</v>
      </c>
      <c r="G302" s="3">
        <v>5</v>
      </c>
      <c r="H302" s="3">
        <v>4</v>
      </c>
      <c r="I302" s="3">
        <v>5</v>
      </c>
      <c r="J302" s="3">
        <v>3</v>
      </c>
      <c r="K302" s="3">
        <v>5</v>
      </c>
      <c r="L302" s="3">
        <v>5</v>
      </c>
      <c r="M302" s="3">
        <v>4</v>
      </c>
    </row>
    <row r="303" spans="1:13">
      <c r="A303" t="s">
        <v>67</v>
      </c>
      <c r="B303" t="s">
        <v>68</v>
      </c>
      <c r="C303" t="s">
        <v>577</v>
      </c>
      <c r="D303" t="s">
        <v>3</v>
      </c>
      <c r="E303" t="s">
        <v>23</v>
      </c>
      <c r="F303" s="2">
        <v>44718</v>
      </c>
      <c r="G303" s="3">
        <v>4</v>
      </c>
      <c r="H303" s="3">
        <v>3</v>
      </c>
      <c r="I303" s="3">
        <v>3</v>
      </c>
      <c r="J303" s="3">
        <v>3</v>
      </c>
      <c r="K303" s="3">
        <v>3</v>
      </c>
      <c r="L303" s="3">
        <v>3</v>
      </c>
      <c r="M303" s="3">
        <v>3</v>
      </c>
    </row>
    <row r="304" spans="1:13">
      <c r="A304" t="s">
        <v>182</v>
      </c>
      <c r="B304" t="s">
        <v>2</v>
      </c>
      <c r="C304" t="s">
        <v>198</v>
      </c>
      <c r="D304" t="s">
        <v>3</v>
      </c>
      <c r="E304" t="s">
        <v>558</v>
      </c>
      <c r="F304" s="2">
        <v>44776</v>
      </c>
      <c r="G304" s="3">
        <v>4</v>
      </c>
      <c r="H304" s="3">
        <v>4</v>
      </c>
      <c r="I304" s="3">
        <v>4</v>
      </c>
      <c r="J304" s="3">
        <v>2</v>
      </c>
      <c r="K304" s="3">
        <v>5</v>
      </c>
      <c r="L304" s="3">
        <v>5</v>
      </c>
      <c r="M304" s="3">
        <v>1</v>
      </c>
    </row>
    <row r="305" spans="1:13">
      <c r="A305" t="s">
        <v>1</v>
      </c>
      <c r="B305" t="s">
        <v>2</v>
      </c>
      <c r="C305" t="s">
        <v>198</v>
      </c>
      <c r="D305" t="s">
        <v>3</v>
      </c>
      <c r="E305" t="s">
        <v>20</v>
      </c>
      <c r="F305" s="2">
        <v>44991</v>
      </c>
      <c r="G305" s="3">
        <v>4</v>
      </c>
      <c r="H305" s="3">
        <v>3</v>
      </c>
      <c r="I305" s="3">
        <v>5</v>
      </c>
      <c r="J305" s="3">
        <v>5</v>
      </c>
      <c r="K305" s="3">
        <v>5</v>
      </c>
      <c r="L305" s="3">
        <v>5</v>
      </c>
      <c r="M305" s="3">
        <v>3</v>
      </c>
    </row>
    <row r="306" spans="1:13">
      <c r="A306" t="s">
        <v>54</v>
      </c>
      <c r="B306" t="s">
        <v>2</v>
      </c>
      <c r="C306" t="s">
        <v>198</v>
      </c>
      <c r="D306" t="s">
        <v>3</v>
      </c>
      <c r="E306" t="s">
        <v>49</v>
      </c>
      <c r="F306" s="2">
        <v>44717</v>
      </c>
      <c r="G306" s="3">
        <v>5</v>
      </c>
      <c r="H306" s="3">
        <v>5</v>
      </c>
      <c r="I306" s="3">
        <v>5</v>
      </c>
      <c r="J306" s="3">
        <v>5</v>
      </c>
      <c r="K306" s="3">
        <v>5</v>
      </c>
      <c r="L306" s="3">
        <v>5</v>
      </c>
      <c r="M306" s="3">
        <v>4</v>
      </c>
    </row>
    <row r="307" spans="1:13">
      <c r="A307" t="s">
        <v>656</v>
      </c>
      <c r="B307" t="s">
        <v>39</v>
      </c>
      <c r="C307" t="s">
        <v>581</v>
      </c>
      <c r="D307" t="s">
        <v>3</v>
      </c>
      <c r="E307" t="s">
        <v>615</v>
      </c>
      <c r="F307" s="2">
        <v>45017</v>
      </c>
      <c r="G307" s="3">
        <v>4</v>
      </c>
      <c r="H307" s="3">
        <v>4</v>
      </c>
      <c r="I307" s="3">
        <v>4</v>
      </c>
      <c r="J307" s="3">
        <v>4</v>
      </c>
      <c r="K307" s="3">
        <v>5</v>
      </c>
      <c r="L307" s="3">
        <v>3</v>
      </c>
      <c r="M307" s="3">
        <v>4</v>
      </c>
    </row>
    <row r="308" spans="1:13">
      <c r="A308" t="s">
        <v>185</v>
      </c>
      <c r="B308" t="s">
        <v>558</v>
      </c>
      <c r="C308" t="s">
        <v>558</v>
      </c>
      <c r="D308" t="s">
        <v>3</v>
      </c>
      <c r="E308" t="s">
        <v>4</v>
      </c>
      <c r="F308" s="2">
        <v>44720</v>
      </c>
      <c r="G308" s="3">
        <v>5</v>
      </c>
      <c r="H308" s="3">
        <v>5</v>
      </c>
      <c r="I308" s="3">
        <v>5</v>
      </c>
      <c r="J308" s="3">
        <v>5</v>
      </c>
      <c r="K308" s="3">
        <v>5</v>
      </c>
      <c r="L308" s="3">
        <v>5</v>
      </c>
      <c r="M308" s="3">
        <v>5</v>
      </c>
    </row>
    <row r="309" spans="1:13">
      <c r="A309" t="s">
        <v>40</v>
      </c>
      <c r="B309" t="s">
        <v>82</v>
      </c>
      <c r="C309" t="s">
        <v>566</v>
      </c>
      <c r="D309" t="s">
        <v>3</v>
      </c>
      <c r="E309" t="s">
        <v>34</v>
      </c>
      <c r="F309" s="2">
        <v>44774</v>
      </c>
      <c r="G309" s="3">
        <v>5</v>
      </c>
      <c r="H309" s="3">
        <v>3</v>
      </c>
      <c r="I309" s="3">
        <v>4</v>
      </c>
      <c r="J309" s="3">
        <v>4</v>
      </c>
      <c r="K309" s="3">
        <v>5</v>
      </c>
      <c r="L309" s="3">
        <v>4</v>
      </c>
      <c r="M309" s="3">
        <v>4</v>
      </c>
    </row>
    <row r="310" spans="1:13">
      <c r="A310" t="s">
        <v>1</v>
      </c>
      <c r="B310" t="s">
        <v>2</v>
      </c>
      <c r="C310" t="s">
        <v>198</v>
      </c>
      <c r="D310" t="s">
        <v>3</v>
      </c>
      <c r="E310" t="s">
        <v>26</v>
      </c>
      <c r="F310" s="2">
        <v>44747</v>
      </c>
      <c r="G310" s="3">
        <v>4</v>
      </c>
      <c r="H310" s="3">
        <v>4</v>
      </c>
      <c r="I310" s="3">
        <v>4</v>
      </c>
      <c r="J310" s="3">
        <v>3</v>
      </c>
      <c r="K310" s="3">
        <v>5</v>
      </c>
      <c r="L310" s="3">
        <v>5</v>
      </c>
      <c r="M310" s="3">
        <v>4</v>
      </c>
    </row>
    <row r="311" spans="1:13">
      <c r="A311" t="s">
        <v>186</v>
      </c>
      <c r="B311" t="s">
        <v>82</v>
      </c>
      <c r="C311" t="s">
        <v>566</v>
      </c>
      <c r="D311" t="s">
        <v>3</v>
      </c>
      <c r="E311" t="s">
        <v>25</v>
      </c>
      <c r="F311" s="2">
        <v>44927</v>
      </c>
      <c r="G311" s="3">
        <v>4</v>
      </c>
      <c r="H311" s="3">
        <v>4</v>
      </c>
      <c r="I311" s="3">
        <v>3</v>
      </c>
      <c r="J311" s="3">
        <v>4</v>
      </c>
      <c r="K311" s="3">
        <v>5</v>
      </c>
      <c r="L311" s="3">
        <v>3</v>
      </c>
      <c r="M311" s="3">
        <v>4</v>
      </c>
    </row>
    <row r="312" spans="1:13">
      <c r="A312" t="s">
        <v>31</v>
      </c>
      <c r="B312" t="s">
        <v>558</v>
      </c>
      <c r="C312" t="s">
        <v>558</v>
      </c>
      <c r="D312" t="s">
        <v>3</v>
      </c>
      <c r="E312" t="s">
        <v>26</v>
      </c>
      <c r="F312" s="2">
        <v>44837</v>
      </c>
      <c r="G312" s="3">
        <v>3</v>
      </c>
      <c r="H312" s="3">
        <v>3</v>
      </c>
      <c r="I312" s="3">
        <v>3</v>
      </c>
      <c r="J312" s="3">
        <v>3</v>
      </c>
      <c r="K312" s="3">
        <v>3</v>
      </c>
      <c r="L312" s="3">
        <v>3</v>
      </c>
      <c r="M312" s="3">
        <v>3</v>
      </c>
    </row>
    <row r="313" spans="1:13">
      <c r="A313" t="s">
        <v>655</v>
      </c>
      <c r="B313" t="s">
        <v>78</v>
      </c>
      <c r="C313" t="s">
        <v>569</v>
      </c>
      <c r="D313" t="s">
        <v>3</v>
      </c>
      <c r="E313" t="s">
        <v>79</v>
      </c>
      <c r="F313" s="2">
        <v>44805</v>
      </c>
      <c r="G313" s="3">
        <v>4</v>
      </c>
      <c r="H313" s="3">
        <v>5</v>
      </c>
      <c r="I313" s="3">
        <v>4</v>
      </c>
      <c r="J313" s="3">
        <v>3</v>
      </c>
      <c r="K313" s="3">
        <v>5</v>
      </c>
      <c r="L313" s="3">
        <v>5</v>
      </c>
      <c r="M313" s="3">
        <v>3</v>
      </c>
    </row>
    <row r="314" spans="1:13">
      <c r="A314" t="s">
        <v>1</v>
      </c>
      <c r="B314" t="s">
        <v>2</v>
      </c>
      <c r="C314" t="s">
        <v>198</v>
      </c>
      <c r="D314" t="s">
        <v>3</v>
      </c>
      <c r="E314" t="s">
        <v>12</v>
      </c>
      <c r="F314" s="2">
        <v>44986</v>
      </c>
      <c r="G314" s="3">
        <v>4</v>
      </c>
      <c r="H314" s="3">
        <v>3</v>
      </c>
      <c r="I314" s="3">
        <v>4</v>
      </c>
      <c r="J314" s="3">
        <v>4</v>
      </c>
      <c r="K314" s="3">
        <v>4</v>
      </c>
      <c r="L314" s="3">
        <v>4</v>
      </c>
      <c r="M314" s="3">
        <v>3</v>
      </c>
    </row>
    <row r="315" spans="1:13">
      <c r="A315" t="s">
        <v>1</v>
      </c>
      <c r="B315" t="s">
        <v>2</v>
      </c>
      <c r="C315" t="s">
        <v>198</v>
      </c>
      <c r="D315" t="s">
        <v>3</v>
      </c>
      <c r="E315" t="s">
        <v>12</v>
      </c>
      <c r="F315" s="2">
        <v>44781</v>
      </c>
      <c r="G315" s="3">
        <v>5</v>
      </c>
      <c r="H315" s="3">
        <v>4</v>
      </c>
      <c r="I315" s="3">
        <v>4</v>
      </c>
      <c r="J315" s="3">
        <v>4</v>
      </c>
      <c r="K315" s="3">
        <v>5</v>
      </c>
      <c r="L315" s="3">
        <v>5</v>
      </c>
      <c r="M315" s="3">
        <v>3</v>
      </c>
    </row>
    <row r="316" spans="1:13">
      <c r="A316" t="s">
        <v>30</v>
      </c>
      <c r="B316" t="s">
        <v>2</v>
      </c>
      <c r="C316" t="s">
        <v>198</v>
      </c>
      <c r="D316" t="s">
        <v>3</v>
      </c>
      <c r="E316" t="s">
        <v>657</v>
      </c>
      <c r="F316" s="2">
        <v>44601</v>
      </c>
      <c r="G316" s="3">
        <v>5</v>
      </c>
      <c r="H316" s="3">
        <v>5</v>
      </c>
      <c r="I316" s="3">
        <v>5</v>
      </c>
      <c r="J316" s="3">
        <v>5</v>
      </c>
      <c r="K316" s="3">
        <v>5</v>
      </c>
      <c r="L316" s="3">
        <v>5</v>
      </c>
      <c r="M316" s="3">
        <v>5</v>
      </c>
    </row>
    <row r="317" spans="1:13">
      <c r="A317" t="s">
        <v>187</v>
      </c>
      <c r="B317" t="s">
        <v>2</v>
      </c>
      <c r="C317" t="s">
        <v>198</v>
      </c>
      <c r="D317" t="s">
        <v>3</v>
      </c>
      <c r="E317" t="s">
        <v>23</v>
      </c>
      <c r="F317" s="2">
        <v>44685</v>
      </c>
      <c r="G317" s="3">
        <v>5</v>
      </c>
      <c r="H317" s="3">
        <v>5</v>
      </c>
      <c r="I317" s="3">
        <v>5</v>
      </c>
      <c r="J317" s="3">
        <v>5</v>
      </c>
      <c r="K317" s="3">
        <v>5</v>
      </c>
      <c r="L317" s="3">
        <v>5</v>
      </c>
      <c r="M317" s="3">
        <v>5</v>
      </c>
    </row>
    <row r="318" spans="1:13">
      <c r="A318" t="s">
        <v>188</v>
      </c>
      <c r="B318" t="s">
        <v>529</v>
      </c>
      <c r="C318" t="s">
        <v>570</v>
      </c>
      <c r="D318" t="s">
        <v>3</v>
      </c>
      <c r="E318" t="s">
        <v>627</v>
      </c>
      <c r="F318" s="2">
        <v>44806</v>
      </c>
      <c r="G318" s="3">
        <v>5</v>
      </c>
      <c r="H318" s="3">
        <v>4</v>
      </c>
      <c r="I318" s="3">
        <v>5</v>
      </c>
      <c r="J318" s="3">
        <v>4</v>
      </c>
      <c r="K318" s="3">
        <v>3</v>
      </c>
      <c r="L318" s="3">
        <v>4</v>
      </c>
      <c r="M318" s="3">
        <v>4</v>
      </c>
    </row>
    <row r="319" spans="1:13">
      <c r="A319" t="s">
        <v>189</v>
      </c>
      <c r="B319" t="s">
        <v>190</v>
      </c>
      <c r="C319" t="s">
        <v>358</v>
      </c>
      <c r="D319" t="s">
        <v>3</v>
      </c>
      <c r="E319" t="s">
        <v>191</v>
      </c>
      <c r="F319" s="2">
        <v>44721</v>
      </c>
      <c r="G319" s="3">
        <v>5</v>
      </c>
      <c r="H319" s="3">
        <v>5</v>
      </c>
      <c r="I319" s="3">
        <v>5</v>
      </c>
      <c r="J319" s="3">
        <v>4</v>
      </c>
      <c r="K319" s="3">
        <v>4</v>
      </c>
      <c r="L319" s="3">
        <v>4</v>
      </c>
      <c r="M319" s="3">
        <v>4</v>
      </c>
    </row>
    <row r="320" spans="1:13">
      <c r="A320" t="s">
        <v>30</v>
      </c>
      <c r="B320" t="s">
        <v>2</v>
      </c>
      <c r="C320" t="s">
        <v>198</v>
      </c>
      <c r="D320" t="s">
        <v>3</v>
      </c>
      <c r="E320" t="s">
        <v>139</v>
      </c>
      <c r="F320" s="2">
        <v>44713</v>
      </c>
      <c r="G320" s="3">
        <v>4</v>
      </c>
      <c r="H320" s="3">
        <v>5</v>
      </c>
      <c r="I320" s="3">
        <v>5</v>
      </c>
      <c r="J320" s="3">
        <v>4</v>
      </c>
      <c r="K320" s="3">
        <v>5</v>
      </c>
      <c r="L320" s="3">
        <v>5</v>
      </c>
      <c r="M320" s="3">
        <v>3</v>
      </c>
    </row>
    <row r="321" spans="1:13">
      <c r="A321" t="s">
        <v>149</v>
      </c>
      <c r="B321" t="s">
        <v>192</v>
      </c>
      <c r="C321" t="s">
        <v>192</v>
      </c>
      <c r="D321" t="s">
        <v>3</v>
      </c>
      <c r="E321" t="s">
        <v>558</v>
      </c>
      <c r="F321" s="2">
        <v>44778</v>
      </c>
      <c r="G321" s="3">
        <v>2</v>
      </c>
      <c r="H321" s="3">
        <v>1</v>
      </c>
      <c r="I321" s="3">
        <v>1</v>
      </c>
      <c r="J321" s="3">
        <v>4</v>
      </c>
      <c r="K321" s="3">
        <v>5</v>
      </c>
      <c r="L321" s="3">
        <v>2</v>
      </c>
      <c r="M321" s="3">
        <v>1</v>
      </c>
    </row>
    <row r="322" spans="1:13">
      <c r="A322" t="s">
        <v>1</v>
      </c>
      <c r="B322" t="s">
        <v>2</v>
      </c>
      <c r="C322" t="s">
        <v>198</v>
      </c>
      <c r="D322" t="s">
        <v>3</v>
      </c>
      <c r="E322" t="s">
        <v>26</v>
      </c>
      <c r="F322" s="2">
        <v>44743</v>
      </c>
      <c r="G322" s="3">
        <v>5</v>
      </c>
      <c r="H322" s="3">
        <v>5</v>
      </c>
      <c r="I322" s="3">
        <v>5</v>
      </c>
      <c r="J322" s="3">
        <v>5</v>
      </c>
      <c r="K322" s="3">
        <v>5</v>
      </c>
      <c r="L322" s="3">
        <v>5</v>
      </c>
      <c r="M322" s="3">
        <v>5</v>
      </c>
    </row>
    <row r="323" spans="1:13">
      <c r="A323" t="s">
        <v>658</v>
      </c>
      <c r="B323" t="s">
        <v>2</v>
      </c>
      <c r="C323" t="s">
        <v>198</v>
      </c>
      <c r="D323" t="s">
        <v>3</v>
      </c>
      <c r="E323" t="s">
        <v>12</v>
      </c>
      <c r="F323" s="2">
        <v>44774</v>
      </c>
      <c r="G323" s="3">
        <v>1</v>
      </c>
      <c r="H323" s="3">
        <v>3</v>
      </c>
      <c r="I323" s="3">
        <v>1</v>
      </c>
      <c r="J323" s="3">
        <v>1</v>
      </c>
      <c r="K323" s="3">
        <v>5</v>
      </c>
      <c r="L323" s="3">
        <v>3</v>
      </c>
      <c r="M323" s="3">
        <v>1</v>
      </c>
    </row>
    <row r="324" spans="1:13">
      <c r="A324" t="s">
        <v>126</v>
      </c>
      <c r="B324" t="s">
        <v>193</v>
      </c>
      <c r="C324" t="s">
        <v>572</v>
      </c>
      <c r="D324" t="s">
        <v>3</v>
      </c>
      <c r="E324" t="s">
        <v>128</v>
      </c>
      <c r="F324" s="2">
        <v>44720</v>
      </c>
      <c r="G324" s="3">
        <v>5</v>
      </c>
      <c r="H324" s="3">
        <v>5</v>
      </c>
      <c r="I324" s="3">
        <v>5</v>
      </c>
      <c r="J324" s="3">
        <v>5</v>
      </c>
      <c r="K324" s="3">
        <v>5</v>
      </c>
      <c r="L324" s="3">
        <v>5</v>
      </c>
      <c r="M324" s="3">
        <v>5</v>
      </c>
    </row>
    <row r="325" spans="1:13">
      <c r="A325" t="s">
        <v>157</v>
      </c>
      <c r="B325" t="s">
        <v>8</v>
      </c>
      <c r="C325" t="s">
        <v>570</v>
      </c>
      <c r="D325" t="s">
        <v>3</v>
      </c>
      <c r="E325" t="s">
        <v>34</v>
      </c>
      <c r="F325" s="2">
        <v>44811</v>
      </c>
      <c r="G325" s="3">
        <v>5</v>
      </c>
      <c r="H325" s="3">
        <v>5</v>
      </c>
      <c r="I325" s="3">
        <v>4</v>
      </c>
      <c r="J325" s="3">
        <v>4</v>
      </c>
      <c r="K325" s="3">
        <v>4</v>
      </c>
      <c r="L325" s="3">
        <v>5</v>
      </c>
      <c r="M325" s="3">
        <v>2</v>
      </c>
    </row>
    <row r="326" spans="1:13">
      <c r="A326" t="s">
        <v>194</v>
      </c>
      <c r="B326" t="s">
        <v>2</v>
      </c>
      <c r="C326" t="s">
        <v>198</v>
      </c>
      <c r="D326" t="s">
        <v>3</v>
      </c>
      <c r="E326" t="s">
        <v>558</v>
      </c>
      <c r="F326" s="2">
        <v>44780</v>
      </c>
      <c r="G326" s="3">
        <v>4</v>
      </c>
      <c r="H326" s="3">
        <v>5</v>
      </c>
      <c r="I326" s="3">
        <v>4</v>
      </c>
      <c r="J326" s="3">
        <v>3</v>
      </c>
      <c r="K326" s="3">
        <v>5</v>
      </c>
      <c r="L326" s="3">
        <v>5</v>
      </c>
      <c r="M326" s="3">
        <v>4</v>
      </c>
    </row>
    <row r="327" spans="1:13">
      <c r="A327" t="s">
        <v>1</v>
      </c>
      <c r="B327" t="s">
        <v>558</v>
      </c>
      <c r="C327" t="s">
        <v>558</v>
      </c>
      <c r="D327" t="s">
        <v>3</v>
      </c>
      <c r="E327" t="s">
        <v>12</v>
      </c>
      <c r="F327" s="2">
        <v>44779</v>
      </c>
      <c r="G327" s="3">
        <v>4</v>
      </c>
      <c r="H327" s="3">
        <v>4</v>
      </c>
      <c r="I327" s="3">
        <v>4</v>
      </c>
      <c r="J327" s="3">
        <v>4</v>
      </c>
      <c r="K327" s="3">
        <v>4</v>
      </c>
      <c r="L327" s="3">
        <v>4</v>
      </c>
      <c r="M327" s="3">
        <v>4</v>
      </c>
    </row>
    <row r="328" spans="1:13">
      <c r="A328" t="s">
        <v>133</v>
      </c>
      <c r="B328" t="s">
        <v>195</v>
      </c>
      <c r="C328" t="s">
        <v>569</v>
      </c>
      <c r="D328" t="s">
        <v>3</v>
      </c>
      <c r="E328" t="s">
        <v>61</v>
      </c>
      <c r="F328" s="2">
        <v>44563</v>
      </c>
      <c r="G328" s="3">
        <v>5</v>
      </c>
      <c r="H328" s="3">
        <v>5</v>
      </c>
      <c r="I328" s="3">
        <v>5</v>
      </c>
      <c r="J328" s="3">
        <v>5</v>
      </c>
      <c r="K328" s="3">
        <v>5</v>
      </c>
      <c r="L328" s="3">
        <v>5</v>
      </c>
      <c r="M328" s="3">
        <v>5</v>
      </c>
    </row>
    <row r="329" spans="1:13">
      <c r="A329" t="s">
        <v>126</v>
      </c>
      <c r="B329" t="s">
        <v>142</v>
      </c>
      <c r="C329" t="s">
        <v>579</v>
      </c>
      <c r="D329" t="s">
        <v>3</v>
      </c>
      <c r="E329" t="s">
        <v>196</v>
      </c>
      <c r="F329" s="2">
        <v>44745</v>
      </c>
      <c r="G329" s="3">
        <v>5</v>
      </c>
      <c r="H329" s="3">
        <v>5</v>
      </c>
      <c r="I329" s="3">
        <v>5</v>
      </c>
      <c r="J329" s="3">
        <v>5</v>
      </c>
      <c r="K329" s="3">
        <v>1</v>
      </c>
      <c r="L329" s="3">
        <v>5</v>
      </c>
      <c r="M329" s="3">
        <v>1</v>
      </c>
    </row>
    <row r="330" spans="1:13">
      <c r="A330" t="s">
        <v>31</v>
      </c>
      <c r="B330" t="s">
        <v>2</v>
      </c>
      <c r="C330" t="s">
        <v>198</v>
      </c>
      <c r="D330" t="s">
        <v>3</v>
      </c>
      <c r="E330" t="s">
        <v>23</v>
      </c>
      <c r="F330" s="2">
        <v>44687</v>
      </c>
      <c r="G330" s="3">
        <v>5</v>
      </c>
      <c r="H330" s="3">
        <v>3</v>
      </c>
      <c r="I330" s="3">
        <v>5</v>
      </c>
      <c r="J330" s="3">
        <v>4</v>
      </c>
      <c r="K330" s="3">
        <v>5</v>
      </c>
      <c r="L330" s="3">
        <v>4</v>
      </c>
      <c r="M330" s="3">
        <v>4</v>
      </c>
    </row>
    <row r="331" spans="1:13">
      <c r="A331" t="s">
        <v>197</v>
      </c>
      <c r="B331" t="s">
        <v>286</v>
      </c>
      <c r="C331" t="s">
        <v>198</v>
      </c>
      <c r="D331" t="s">
        <v>3</v>
      </c>
      <c r="E331" t="s">
        <v>199</v>
      </c>
      <c r="F331" s="2">
        <v>44718</v>
      </c>
      <c r="G331" s="3">
        <v>1</v>
      </c>
      <c r="H331" s="3">
        <v>1</v>
      </c>
      <c r="I331" s="3">
        <v>1</v>
      </c>
      <c r="J331" s="3">
        <v>1</v>
      </c>
      <c r="K331" s="3">
        <v>1</v>
      </c>
      <c r="L331" s="3">
        <v>1</v>
      </c>
      <c r="M331" s="3">
        <v>1</v>
      </c>
    </row>
    <row r="332" spans="1:13">
      <c r="A332" t="s">
        <v>30</v>
      </c>
      <c r="B332" t="s">
        <v>2</v>
      </c>
      <c r="C332" t="s">
        <v>198</v>
      </c>
      <c r="D332" t="s">
        <v>3</v>
      </c>
      <c r="E332" t="s">
        <v>15</v>
      </c>
      <c r="F332" s="2">
        <v>44993</v>
      </c>
      <c r="G332" s="3">
        <v>3</v>
      </c>
      <c r="H332" s="3">
        <v>4</v>
      </c>
      <c r="I332" s="3">
        <v>2</v>
      </c>
      <c r="J332" s="3">
        <v>3</v>
      </c>
      <c r="K332" s="3">
        <v>5</v>
      </c>
      <c r="L332" s="3">
        <v>3</v>
      </c>
      <c r="M332" s="3">
        <v>3</v>
      </c>
    </row>
    <row r="333" spans="1:13">
      <c r="A333" t="s">
        <v>77</v>
      </c>
      <c r="B333" t="s">
        <v>2</v>
      </c>
      <c r="C333" t="s">
        <v>198</v>
      </c>
      <c r="D333" t="s">
        <v>3</v>
      </c>
      <c r="E333" t="s">
        <v>139</v>
      </c>
      <c r="F333" s="2">
        <v>44720</v>
      </c>
      <c r="G333" s="3">
        <v>3</v>
      </c>
      <c r="H333" s="3">
        <v>3</v>
      </c>
      <c r="I333" s="3">
        <v>2</v>
      </c>
      <c r="J333" s="3">
        <v>4</v>
      </c>
      <c r="K333" s="3">
        <v>5</v>
      </c>
      <c r="L333" s="3">
        <v>3</v>
      </c>
      <c r="M333" s="3">
        <v>3</v>
      </c>
    </row>
    <row r="334" spans="1:13">
      <c r="A334" t="s">
        <v>200</v>
      </c>
      <c r="B334" t="s">
        <v>383</v>
      </c>
      <c r="C334" t="s">
        <v>582</v>
      </c>
      <c r="D334" t="s">
        <v>3</v>
      </c>
      <c r="E334" t="s">
        <v>201</v>
      </c>
      <c r="F334" s="2">
        <v>44689</v>
      </c>
      <c r="G334" s="3">
        <v>5</v>
      </c>
      <c r="H334" s="3">
        <v>5</v>
      </c>
      <c r="I334" s="3">
        <v>5</v>
      </c>
      <c r="J334" s="3">
        <v>5</v>
      </c>
      <c r="K334" s="3">
        <v>5</v>
      </c>
      <c r="L334" s="3">
        <v>5</v>
      </c>
      <c r="M334" s="3">
        <v>5</v>
      </c>
    </row>
    <row r="335" spans="1:13">
      <c r="A335" t="s">
        <v>202</v>
      </c>
      <c r="B335" t="s">
        <v>203</v>
      </c>
      <c r="C335" t="s">
        <v>569</v>
      </c>
      <c r="D335" t="s">
        <v>3</v>
      </c>
      <c r="E335" t="s">
        <v>26</v>
      </c>
      <c r="F335" s="2">
        <v>44721</v>
      </c>
      <c r="G335" s="3">
        <v>4</v>
      </c>
      <c r="H335" s="3">
        <v>5</v>
      </c>
      <c r="I335" s="3">
        <v>5</v>
      </c>
      <c r="J335" s="3">
        <v>5</v>
      </c>
      <c r="K335" s="3">
        <v>5</v>
      </c>
      <c r="L335" s="3">
        <v>5</v>
      </c>
      <c r="M335" s="3">
        <v>4</v>
      </c>
    </row>
    <row r="336" spans="1:13">
      <c r="A336" t="s">
        <v>124</v>
      </c>
      <c r="B336" t="s">
        <v>2</v>
      </c>
      <c r="C336" t="s">
        <v>198</v>
      </c>
      <c r="D336" t="s">
        <v>3</v>
      </c>
      <c r="E336" t="s">
        <v>139</v>
      </c>
      <c r="F336" s="2">
        <v>44621</v>
      </c>
      <c r="G336" s="3">
        <v>5</v>
      </c>
      <c r="H336" s="3">
        <v>4</v>
      </c>
      <c r="I336" s="3">
        <v>4</v>
      </c>
      <c r="J336" s="3">
        <v>5</v>
      </c>
      <c r="K336" s="3">
        <v>5</v>
      </c>
      <c r="L336" s="3">
        <v>5</v>
      </c>
      <c r="M336" s="3">
        <v>4</v>
      </c>
    </row>
    <row r="337" spans="1:13">
      <c r="A337" t="s">
        <v>98</v>
      </c>
      <c r="B337" t="s">
        <v>2</v>
      </c>
      <c r="C337" t="s">
        <v>198</v>
      </c>
      <c r="D337" t="s">
        <v>3</v>
      </c>
      <c r="E337" t="s">
        <v>139</v>
      </c>
      <c r="F337" s="2">
        <v>44748</v>
      </c>
      <c r="G337" s="3">
        <v>4</v>
      </c>
      <c r="H337" s="3">
        <v>4</v>
      </c>
      <c r="I337" s="3">
        <v>4</v>
      </c>
      <c r="J337" s="3">
        <v>3</v>
      </c>
      <c r="K337" s="3">
        <v>5</v>
      </c>
      <c r="L337" s="3">
        <v>5</v>
      </c>
      <c r="M337" s="3">
        <v>4</v>
      </c>
    </row>
    <row r="338" spans="1:13">
      <c r="A338" t="s">
        <v>601</v>
      </c>
      <c r="B338" t="s">
        <v>564</v>
      </c>
      <c r="C338" t="s">
        <v>50</v>
      </c>
      <c r="D338" t="s">
        <v>3</v>
      </c>
      <c r="E338" t="s">
        <v>204</v>
      </c>
      <c r="F338" s="2">
        <v>44751</v>
      </c>
      <c r="G338" s="3">
        <v>5</v>
      </c>
      <c r="H338" s="3">
        <v>4</v>
      </c>
      <c r="I338" s="3">
        <v>5</v>
      </c>
      <c r="J338" s="3">
        <v>3</v>
      </c>
      <c r="K338" s="3">
        <v>3</v>
      </c>
      <c r="L338" s="3">
        <v>3</v>
      </c>
      <c r="M338" s="3">
        <v>4</v>
      </c>
    </row>
    <row r="339" spans="1:13">
      <c r="A339" t="s">
        <v>1</v>
      </c>
      <c r="B339" t="s">
        <v>50</v>
      </c>
      <c r="C339" t="s">
        <v>50</v>
      </c>
      <c r="D339" t="s">
        <v>3</v>
      </c>
      <c r="E339" t="s">
        <v>12</v>
      </c>
      <c r="F339" s="2">
        <v>44685</v>
      </c>
      <c r="G339" s="3">
        <v>5</v>
      </c>
      <c r="H339" s="3">
        <v>4</v>
      </c>
      <c r="I339" s="3">
        <v>5</v>
      </c>
      <c r="J339" s="3">
        <v>5</v>
      </c>
      <c r="K339" s="3">
        <v>5</v>
      </c>
      <c r="L339" s="3">
        <v>5</v>
      </c>
      <c r="M339" s="3">
        <v>4</v>
      </c>
    </row>
    <row r="340" spans="1:13">
      <c r="A340" t="s">
        <v>107</v>
      </c>
      <c r="B340" t="s">
        <v>2</v>
      </c>
      <c r="C340" t="s">
        <v>198</v>
      </c>
      <c r="D340" t="s">
        <v>3</v>
      </c>
      <c r="E340" t="s">
        <v>4</v>
      </c>
      <c r="F340" s="2">
        <v>44714</v>
      </c>
      <c r="G340" s="3">
        <v>4</v>
      </c>
      <c r="H340" s="3">
        <v>4</v>
      </c>
      <c r="I340" s="3">
        <v>3</v>
      </c>
      <c r="J340" s="3">
        <v>4</v>
      </c>
      <c r="K340" s="3">
        <v>5</v>
      </c>
      <c r="L340" s="3">
        <v>5</v>
      </c>
      <c r="M340" s="3">
        <v>3</v>
      </c>
    </row>
    <row r="341" spans="1:13">
      <c r="A341" t="s">
        <v>1</v>
      </c>
      <c r="B341" t="s">
        <v>2</v>
      </c>
      <c r="C341" t="s">
        <v>198</v>
      </c>
      <c r="D341" t="s">
        <v>3</v>
      </c>
      <c r="E341" t="s">
        <v>12</v>
      </c>
      <c r="F341" s="2">
        <v>44866</v>
      </c>
      <c r="G341" s="3">
        <v>4</v>
      </c>
      <c r="H341" s="3">
        <v>3</v>
      </c>
      <c r="I341" s="3">
        <v>4</v>
      </c>
      <c r="J341" s="3">
        <v>3</v>
      </c>
      <c r="K341" s="3">
        <v>5</v>
      </c>
      <c r="L341" s="3">
        <v>5</v>
      </c>
      <c r="M341" s="3">
        <v>3</v>
      </c>
    </row>
    <row r="342" spans="1:13">
      <c r="A342" t="s">
        <v>77</v>
      </c>
      <c r="B342" t="s">
        <v>2</v>
      </c>
      <c r="C342" t="s">
        <v>198</v>
      </c>
      <c r="D342" t="s">
        <v>3</v>
      </c>
      <c r="E342" t="s">
        <v>139</v>
      </c>
      <c r="F342" s="2">
        <v>44686</v>
      </c>
      <c r="G342" s="3">
        <v>4</v>
      </c>
      <c r="H342" s="3">
        <v>4</v>
      </c>
      <c r="I342" s="3">
        <v>4</v>
      </c>
      <c r="J342" s="3">
        <v>4</v>
      </c>
      <c r="K342" s="3">
        <v>4</v>
      </c>
      <c r="L342" s="3">
        <v>4</v>
      </c>
      <c r="M342" s="3">
        <v>4</v>
      </c>
    </row>
    <row r="343" spans="1:13">
      <c r="A343" t="s">
        <v>156</v>
      </c>
      <c r="B343" t="s">
        <v>2</v>
      </c>
      <c r="C343" t="s">
        <v>198</v>
      </c>
      <c r="D343" t="s">
        <v>3</v>
      </c>
      <c r="E343" t="s">
        <v>205</v>
      </c>
      <c r="F343" s="2">
        <v>44717</v>
      </c>
      <c r="G343" s="3">
        <v>4</v>
      </c>
      <c r="H343" s="3">
        <v>4</v>
      </c>
      <c r="I343" s="3">
        <v>5</v>
      </c>
      <c r="J343" s="3">
        <v>3</v>
      </c>
      <c r="K343" s="3">
        <v>3</v>
      </c>
      <c r="L343" s="3">
        <v>5</v>
      </c>
      <c r="M343" s="3">
        <v>3</v>
      </c>
    </row>
    <row r="344" spans="1:13">
      <c r="A344" t="s">
        <v>366</v>
      </c>
      <c r="B344" t="s">
        <v>2</v>
      </c>
      <c r="C344" t="s">
        <v>198</v>
      </c>
      <c r="D344" t="s">
        <v>3</v>
      </c>
      <c r="E344" t="s">
        <v>23</v>
      </c>
      <c r="F344" s="2">
        <v>44932</v>
      </c>
      <c r="G344" s="3">
        <v>5</v>
      </c>
      <c r="H344" s="3">
        <v>5</v>
      </c>
      <c r="I344" s="3">
        <v>5</v>
      </c>
      <c r="J344" s="3">
        <v>5</v>
      </c>
      <c r="K344" s="3">
        <v>5</v>
      </c>
      <c r="L344" s="3">
        <v>5</v>
      </c>
      <c r="M344" s="3">
        <v>5</v>
      </c>
    </row>
    <row r="345" spans="1:13">
      <c r="A345" t="s">
        <v>77</v>
      </c>
      <c r="B345" t="s">
        <v>2</v>
      </c>
      <c r="C345" t="s">
        <v>198</v>
      </c>
      <c r="D345" t="s">
        <v>3</v>
      </c>
      <c r="E345" t="s">
        <v>4</v>
      </c>
      <c r="F345" s="2">
        <v>44652</v>
      </c>
      <c r="G345" s="3">
        <v>4</v>
      </c>
      <c r="H345" s="3">
        <v>4</v>
      </c>
      <c r="I345" s="3">
        <v>4</v>
      </c>
      <c r="J345" s="3">
        <v>4</v>
      </c>
      <c r="K345" s="3">
        <v>5</v>
      </c>
      <c r="L345" s="3">
        <v>2</v>
      </c>
      <c r="M345" s="3">
        <v>4</v>
      </c>
    </row>
    <row r="346" spans="1:13">
      <c r="A346" t="s">
        <v>659</v>
      </c>
      <c r="B346" t="s">
        <v>206</v>
      </c>
      <c r="C346" t="s">
        <v>569</v>
      </c>
      <c r="D346" t="s">
        <v>3</v>
      </c>
      <c r="E346" t="s">
        <v>61</v>
      </c>
      <c r="F346" s="2">
        <v>44687</v>
      </c>
      <c r="G346" s="3">
        <v>5</v>
      </c>
      <c r="H346" s="3">
        <v>5</v>
      </c>
      <c r="I346" s="3">
        <v>5</v>
      </c>
      <c r="J346" s="3">
        <v>5</v>
      </c>
      <c r="K346" s="3">
        <v>5</v>
      </c>
      <c r="L346" s="3">
        <v>5</v>
      </c>
      <c r="M346" s="3">
        <v>5</v>
      </c>
    </row>
    <row r="347" spans="1:13">
      <c r="A347" t="s">
        <v>91</v>
      </c>
      <c r="B347" t="s">
        <v>564</v>
      </c>
      <c r="C347" t="s">
        <v>50</v>
      </c>
      <c r="D347" t="s">
        <v>3</v>
      </c>
      <c r="E347" t="s">
        <v>63</v>
      </c>
      <c r="F347" s="2">
        <v>44778</v>
      </c>
      <c r="G347" s="3">
        <v>5</v>
      </c>
      <c r="H347" s="3">
        <v>5</v>
      </c>
      <c r="I347" s="3">
        <v>5</v>
      </c>
      <c r="J347" s="3">
        <v>5</v>
      </c>
      <c r="K347" s="3">
        <v>5</v>
      </c>
      <c r="L347" s="3">
        <v>5</v>
      </c>
      <c r="M347" s="3">
        <v>5</v>
      </c>
    </row>
    <row r="348" spans="1:13">
      <c r="A348" t="s">
        <v>1</v>
      </c>
      <c r="B348" t="s">
        <v>2</v>
      </c>
      <c r="C348" t="s">
        <v>198</v>
      </c>
      <c r="D348" t="s">
        <v>3</v>
      </c>
      <c r="E348" t="s">
        <v>139</v>
      </c>
      <c r="F348" s="2">
        <v>44782</v>
      </c>
      <c r="G348" s="3">
        <v>5</v>
      </c>
      <c r="H348" s="3">
        <v>5</v>
      </c>
      <c r="I348" s="3">
        <v>5</v>
      </c>
      <c r="J348" s="3">
        <v>5</v>
      </c>
      <c r="K348" s="3">
        <v>5</v>
      </c>
      <c r="L348" s="3">
        <v>5</v>
      </c>
      <c r="M348" s="3">
        <v>5</v>
      </c>
    </row>
    <row r="349" spans="1:13">
      <c r="A349" t="s">
        <v>40</v>
      </c>
      <c r="B349" t="s">
        <v>207</v>
      </c>
      <c r="C349" t="s">
        <v>50</v>
      </c>
      <c r="D349" t="s">
        <v>3</v>
      </c>
      <c r="E349" t="s">
        <v>128</v>
      </c>
      <c r="F349" s="2">
        <v>44721</v>
      </c>
      <c r="G349" s="3">
        <v>5</v>
      </c>
      <c r="H349" s="3">
        <v>5</v>
      </c>
      <c r="I349" s="3">
        <v>4</v>
      </c>
      <c r="J349" s="3">
        <v>5</v>
      </c>
      <c r="K349" s="3">
        <v>5</v>
      </c>
      <c r="L349" s="3">
        <v>5</v>
      </c>
      <c r="M349" s="3">
        <v>5</v>
      </c>
    </row>
    <row r="350" spans="1:13">
      <c r="A350" t="s">
        <v>7</v>
      </c>
      <c r="B350" t="s">
        <v>206</v>
      </c>
      <c r="C350" t="s">
        <v>569</v>
      </c>
      <c r="D350" t="s">
        <v>3</v>
      </c>
      <c r="E350" t="s">
        <v>201</v>
      </c>
      <c r="F350" s="2">
        <v>44896</v>
      </c>
      <c r="G350" s="3">
        <v>5</v>
      </c>
      <c r="H350" s="3">
        <v>5</v>
      </c>
      <c r="I350" s="3">
        <v>5</v>
      </c>
      <c r="J350" s="3">
        <v>4</v>
      </c>
      <c r="K350" s="3">
        <v>5</v>
      </c>
      <c r="L350" s="3">
        <v>5</v>
      </c>
      <c r="M350" s="3">
        <v>5</v>
      </c>
    </row>
    <row r="351" spans="1:13">
      <c r="A351" t="s">
        <v>208</v>
      </c>
      <c r="B351" t="s">
        <v>32</v>
      </c>
      <c r="C351" t="s">
        <v>567</v>
      </c>
      <c r="D351" t="s">
        <v>3</v>
      </c>
      <c r="E351" t="s">
        <v>662</v>
      </c>
      <c r="F351" s="2">
        <v>44744</v>
      </c>
      <c r="G351" s="3">
        <v>4</v>
      </c>
      <c r="H351" s="3">
        <v>4</v>
      </c>
      <c r="I351" s="3">
        <v>5</v>
      </c>
      <c r="J351" s="3">
        <v>5</v>
      </c>
      <c r="K351" s="3">
        <v>4</v>
      </c>
      <c r="L351" s="3">
        <v>3</v>
      </c>
      <c r="M351" s="3">
        <v>4</v>
      </c>
    </row>
    <row r="352" spans="1:13">
      <c r="A352" t="s">
        <v>30</v>
      </c>
      <c r="B352" t="s">
        <v>243</v>
      </c>
      <c r="C352" t="s">
        <v>574</v>
      </c>
      <c r="D352" t="s">
        <v>3</v>
      </c>
      <c r="E352" t="s">
        <v>12</v>
      </c>
      <c r="F352" s="2">
        <v>44749</v>
      </c>
      <c r="G352" s="3">
        <v>4</v>
      </c>
      <c r="H352" s="3">
        <v>4</v>
      </c>
      <c r="I352" s="3">
        <v>3</v>
      </c>
      <c r="J352" s="3">
        <v>3</v>
      </c>
      <c r="K352" s="3">
        <v>5</v>
      </c>
      <c r="L352" s="3">
        <v>3</v>
      </c>
      <c r="M352" s="3">
        <v>3</v>
      </c>
    </row>
    <row r="353" spans="1:13">
      <c r="A353" t="s">
        <v>209</v>
      </c>
      <c r="B353" t="s">
        <v>2</v>
      </c>
      <c r="C353" t="s">
        <v>198</v>
      </c>
      <c r="D353" t="s">
        <v>3</v>
      </c>
      <c r="E353" t="s">
        <v>210</v>
      </c>
      <c r="F353" s="2">
        <v>44566</v>
      </c>
      <c r="G353" s="3">
        <v>5</v>
      </c>
      <c r="H353" s="3">
        <v>5</v>
      </c>
      <c r="I353" s="3">
        <v>5</v>
      </c>
      <c r="J353" s="3">
        <v>5</v>
      </c>
      <c r="K353" s="3">
        <v>5</v>
      </c>
      <c r="L353" s="3">
        <v>5</v>
      </c>
      <c r="M353" s="3">
        <v>5</v>
      </c>
    </row>
    <row r="354" spans="1:13">
      <c r="A354" t="s">
        <v>40</v>
      </c>
      <c r="B354" t="s">
        <v>530</v>
      </c>
      <c r="C354" t="s">
        <v>578</v>
      </c>
      <c r="D354" t="s">
        <v>3</v>
      </c>
      <c r="E354" t="s">
        <v>558</v>
      </c>
      <c r="F354" s="2">
        <v>44682</v>
      </c>
      <c r="G354" s="3">
        <v>5</v>
      </c>
      <c r="H354" s="3">
        <v>5</v>
      </c>
      <c r="I354" s="3">
        <v>5</v>
      </c>
      <c r="J354" s="3">
        <v>5</v>
      </c>
      <c r="K354" s="3">
        <v>5</v>
      </c>
      <c r="L354" s="3">
        <v>5</v>
      </c>
      <c r="M354" s="3">
        <v>5</v>
      </c>
    </row>
    <row r="355" spans="1:13">
      <c r="A355" t="s">
        <v>105</v>
      </c>
      <c r="B355" t="s">
        <v>243</v>
      </c>
      <c r="C355" t="str" cm="1">
        <f t="array" ref="C355">_xlfn.IFS(B355="Neemrana","Rajasthan",B355="Tadepalligudem","Andhra Pradesh",B355="Kolkata","West Bengal",B355="Unknown","Unknown",B355="Andheri East,Chakala","Mumbai",B355="Ahmadnagar","Maharastra",B355="Sri City","Andhra Pradesh",B355="Gurgaon","Haryana",B355="Ahmedbad","Gujarat",B355="Jaipur","Rajasthan",B355="Chennai","Tamil Nadu")</f>
        <v>Haryana</v>
      </c>
      <c r="D355" t="s">
        <v>3</v>
      </c>
      <c r="E355" t="s">
        <v>616</v>
      </c>
      <c r="F355" s="2">
        <v>44621</v>
      </c>
      <c r="G355" s="3">
        <v>4</v>
      </c>
      <c r="H355" s="3">
        <v>5</v>
      </c>
      <c r="I355" s="3">
        <v>4</v>
      </c>
      <c r="J355" s="3">
        <v>5</v>
      </c>
      <c r="K355" s="3">
        <v>5</v>
      </c>
      <c r="L355" s="3">
        <v>5</v>
      </c>
      <c r="M355" s="3">
        <v>3</v>
      </c>
    </row>
    <row r="356" spans="1:13">
      <c r="A356" t="s">
        <v>1</v>
      </c>
      <c r="B356" t="s">
        <v>2</v>
      </c>
      <c r="C356" t="s">
        <v>198</v>
      </c>
      <c r="D356" t="s">
        <v>3</v>
      </c>
      <c r="E356" t="s">
        <v>26</v>
      </c>
      <c r="F356" s="2">
        <v>44653</v>
      </c>
      <c r="G356" s="3">
        <v>4</v>
      </c>
      <c r="H356" s="3">
        <v>5</v>
      </c>
      <c r="I356" s="3">
        <v>5</v>
      </c>
      <c r="J356" s="3">
        <v>5</v>
      </c>
      <c r="K356" s="3">
        <v>5</v>
      </c>
      <c r="L356" s="3">
        <v>4</v>
      </c>
      <c r="M356" s="3">
        <v>4</v>
      </c>
    </row>
    <row r="357" spans="1:13">
      <c r="A357" t="s">
        <v>166</v>
      </c>
      <c r="B357" t="s">
        <v>243</v>
      </c>
      <c r="C357" t="str" cm="1">
        <f t="array" ref="C357">_xlfn.IFS(B357="Neemrana","Rajasthan",B357="Tadepalligudem","Andhra Pradesh",B357="Kolkata","West Bengal",B357="Unknown","Unknown",B357="Andheri East,Chakala","Mumbai",B357="Ahmadnagar","Maharastra",B357="Sri City","Andhra Pradesh",B357="Gurgaon","Haryana",B357="Ahmedbad","Gujarat",B357="Jaipur","Rajasthan",B357="Chennai","Tamil Nadu")</f>
        <v>Haryana</v>
      </c>
      <c r="D357" t="s">
        <v>3</v>
      </c>
      <c r="E357" t="s">
        <v>558</v>
      </c>
      <c r="F357" s="2">
        <v>45022</v>
      </c>
      <c r="G357" s="3">
        <v>5</v>
      </c>
      <c r="H357" s="3">
        <v>5</v>
      </c>
      <c r="I357" s="3">
        <v>5</v>
      </c>
      <c r="J357" s="3">
        <v>5</v>
      </c>
      <c r="K357" s="3">
        <v>5</v>
      </c>
      <c r="L357" s="3">
        <v>5</v>
      </c>
      <c r="M357" s="3">
        <v>5</v>
      </c>
    </row>
    <row r="358" spans="1:13">
      <c r="A358" t="s">
        <v>298</v>
      </c>
      <c r="B358" t="s">
        <v>2</v>
      </c>
      <c r="C358" t="s">
        <v>198</v>
      </c>
      <c r="D358" t="s">
        <v>3</v>
      </c>
      <c r="E358" t="s">
        <v>26</v>
      </c>
      <c r="F358" s="2">
        <v>45050</v>
      </c>
      <c r="G358" s="3">
        <v>3</v>
      </c>
      <c r="H358" s="3">
        <v>4</v>
      </c>
      <c r="I358" s="3">
        <v>3</v>
      </c>
      <c r="J358" s="3">
        <v>3</v>
      </c>
      <c r="K358" s="3">
        <v>4</v>
      </c>
      <c r="L358" s="3">
        <v>3</v>
      </c>
      <c r="M358" s="3">
        <v>3</v>
      </c>
    </row>
    <row r="359" spans="1:13">
      <c r="A359" t="s">
        <v>7</v>
      </c>
      <c r="B359" t="s">
        <v>206</v>
      </c>
      <c r="C359" t="s">
        <v>569</v>
      </c>
      <c r="D359" t="s">
        <v>3</v>
      </c>
      <c r="E359" t="s">
        <v>558</v>
      </c>
      <c r="F359" s="2">
        <v>44808</v>
      </c>
      <c r="G359" s="3">
        <v>5</v>
      </c>
      <c r="H359" s="3">
        <v>5</v>
      </c>
      <c r="I359" s="3">
        <v>3</v>
      </c>
      <c r="J359" s="3">
        <v>4</v>
      </c>
      <c r="K359" s="3">
        <v>5</v>
      </c>
      <c r="L359" s="3">
        <v>4</v>
      </c>
      <c r="M359" s="3">
        <v>3</v>
      </c>
    </row>
    <row r="360" spans="1:13">
      <c r="A360" t="s">
        <v>1</v>
      </c>
      <c r="B360" t="s">
        <v>2</v>
      </c>
      <c r="C360" t="s">
        <v>198</v>
      </c>
      <c r="D360" t="s">
        <v>3</v>
      </c>
      <c r="E360" t="s">
        <v>616</v>
      </c>
      <c r="F360" s="2">
        <v>44659</v>
      </c>
      <c r="G360" s="3">
        <v>4</v>
      </c>
      <c r="H360" s="3">
        <v>3</v>
      </c>
      <c r="I360" s="3">
        <v>3</v>
      </c>
      <c r="J360" s="3">
        <v>4</v>
      </c>
      <c r="K360" s="3">
        <v>4</v>
      </c>
      <c r="L360" s="3">
        <v>3</v>
      </c>
      <c r="M360" s="3">
        <v>4</v>
      </c>
    </row>
    <row r="361" spans="1:13">
      <c r="A361" t="s">
        <v>211</v>
      </c>
      <c r="B361" t="s">
        <v>243</v>
      </c>
      <c r="C361" t="str" cm="1">
        <f t="array" ref="C361">_xlfn.IFS(B361="Neemrana","Rajasthan",B361="Tadepalligudem","Andhra Pradesh",B361="Kolkata","West Bengal",B361="Unknown","Unknown",B361="Andheri East,Chakala","Mumbai",B361="Ahmadnagar","Maharastra",B361="Sri City","Andhra Pradesh",B361="Gurgaon","Haryana",B361="Ahmedbad","Gujarat",B361="Jaipur","Rajasthan",B361="Chennai","Tamil Nadu")</f>
        <v>Haryana</v>
      </c>
      <c r="D361" t="s">
        <v>3</v>
      </c>
      <c r="E361" t="s">
        <v>15</v>
      </c>
      <c r="F361" s="2">
        <v>44994</v>
      </c>
      <c r="G361" s="3">
        <v>5</v>
      </c>
      <c r="H361" s="3">
        <v>5</v>
      </c>
      <c r="I361" s="3">
        <v>5</v>
      </c>
      <c r="J361" s="3">
        <v>4</v>
      </c>
      <c r="K361" s="3">
        <v>5</v>
      </c>
      <c r="L361" s="3">
        <v>5</v>
      </c>
      <c r="M361" s="3">
        <v>5</v>
      </c>
    </row>
    <row r="362" spans="1:13">
      <c r="A362" t="s">
        <v>76</v>
      </c>
      <c r="B362" t="s">
        <v>50</v>
      </c>
      <c r="C362" t="s">
        <v>50</v>
      </c>
      <c r="D362" t="s">
        <v>3</v>
      </c>
      <c r="E362" t="s">
        <v>139</v>
      </c>
      <c r="F362" s="2">
        <v>44565</v>
      </c>
      <c r="G362" s="3">
        <v>5</v>
      </c>
      <c r="H362" s="3">
        <v>4</v>
      </c>
      <c r="I362" s="3">
        <v>5</v>
      </c>
      <c r="J362" s="3">
        <v>5</v>
      </c>
      <c r="K362" s="3">
        <v>5</v>
      </c>
      <c r="L362" s="3">
        <v>5</v>
      </c>
      <c r="M362" s="3">
        <v>5</v>
      </c>
    </row>
    <row r="363" spans="1:13">
      <c r="A363" t="s">
        <v>77</v>
      </c>
      <c r="B363" t="s">
        <v>2</v>
      </c>
      <c r="C363" t="s">
        <v>198</v>
      </c>
      <c r="D363" t="s">
        <v>3</v>
      </c>
      <c r="E363" t="s">
        <v>66</v>
      </c>
      <c r="F363" s="2">
        <v>44901</v>
      </c>
      <c r="G363" s="3">
        <v>5</v>
      </c>
      <c r="H363" s="3">
        <v>5</v>
      </c>
      <c r="I363" s="3">
        <v>5</v>
      </c>
      <c r="J363" s="3">
        <v>4</v>
      </c>
      <c r="K363" s="3">
        <v>5</v>
      </c>
      <c r="L363" s="3">
        <v>5</v>
      </c>
      <c r="M363" s="3">
        <v>5</v>
      </c>
    </row>
    <row r="364" spans="1:13">
      <c r="A364" t="s">
        <v>594</v>
      </c>
      <c r="B364" t="s">
        <v>2</v>
      </c>
      <c r="C364" t="s">
        <v>198</v>
      </c>
      <c r="D364" t="s">
        <v>3</v>
      </c>
      <c r="E364" t="s">
        <v>558</v>
      </c>
      <c r="F364" s="2">
        <v>44685</v>
      </c>
      <c r="G364" s="3">
        <v>5</v>
      </c>
      <c r="H364" s="3">
        <v>5</v>
      </c>
      <c r="I364" s="3">
        <v>5</v>
      </c>
      <c r="J364" s="3">
        <v>5</v>
      </c>
      <c r="K364" s="3">
        <v>5</v>
      </c>
      <c r="L364" s="3">
        <v>5</v>
      </c>
      <c r="M364" s="3">
        <v>5</v>
      </c>
    </row>
    <row r="365" spans="1:13">
      <c r="A365" t="s">
        <v>558</v>
      </c>
      <c r="B365" t="s">
        <v>2</v>
      </c>
      <c r="C365" t="s">
        <v>198</v>
      </c>
      <c r="D365" t="s">
        <v>558</v>
      </c>
      <c r="E365" t="s">
        <v>558</v>
      </c>
      <c r="F365" s="2">
        <v>44842</v>
      </c>
      <c r="G365" s="3">
        <v>4</v>
      </c>
      <c r="H365" s="3">
        <v>5</v>
      </c>
      <c r="I365" s="3">
        <v>5</v>
      </c>
      <c r="J365" s="3">
        <v>5</v>
      </c>
      <c r="K365" s="3">
        <v>5</v>
      </c>
      <c r="L365" s="3">
        <v>5</v>
      </c>
      <c r="M365" s="3">
        <v>5</v>
      </c>
    </row>
    <row r="366" spans="1:13">
      <c r="A366" t="s">
        <v>7</v>
      </c>
      <c r="B366" t="s">
        <v>213</v>
      </c>
      <c r="C366" t="s">
        <v>198</v>
      </c>
      <c r="D366" t="s">
        <v>3</v>
      </c>
      <c r="E366" t="s">
        <v>638</v>
      </c>
      <c r="F366" s="2">
        <v>44652</v>
      </c>
      <c r="G366" s="3">
        <v>5</v>
      </c>
      <c r="H366" s="3">
        <v>4</v>
      </c>
      <c r="I366" s="3">
        <v>5</v>
      </c>
      <c r="J366" s="3">
        <v>3</v>
      </c>
      <c r="K366" s="3">
        <v>4</v>
      </c>
      <c r="L366" s="3">
        <v>4</v>
      </c>
      <c r="M366" s="3">
        <v>4</v>
      </c>
    </row>
    <row r="367" spans="1:13">
      <c r="A367" t="s">
        <v>535</v>
      </c>
      <c r="B367" t="s">
        <v>214</v>
      </c>
      <c r="C367" t="s">
        <v>566</v>
      </c>
      <c r="D367" t="s">
        <v>3</v>
      </c>
      <c r="E367" t="s">
        <v>558</v>
      </c>
      <c r="F367" s="2">
        <v>44470</v>
      </c>
      <c r="G367" s="3">
        <v>3</v>
      </c>
      <c r="H367" s="3">
        <v>2</v>
      </c>
      <c r="I367" s="3">
        <v>3</v>
      </c>
      <c r="J367" s="3">
        <v>2</v>
      </c>
      <c r="K367" s="3">
        <v>1</v>
      </c>
      <c r="L367" s="3">
        <v>1</v>
      </c>
      <c r="M367" s="3">
        <v>1</v>
      </c>
    </row>
    <row r="368" spans="1:13">
      <c r="A368" t="s">
        <v>1</v>
      </c>
      <c r="B368" t="s">
        <v>564</v>
      </c>
      <c r="C368" t="s">
        <v>50</v>
      </c>
      <c r="D368" t="s">
        <v>3</v>
      </c>
      <c r="E368" t="s">
        <v>23</v>
      </c>
      <c r="F368" s="2">
        <v>44687</v>
      </c>
      <c r="G368" s="3">
        <v>5</v>
      </c>
      <c r="H368" s="3">
        <v>5</v>
      </c>
      <c r="I368" s="3">
        <v>5</v>
      </c>
      <c r="J368" s="3">
        <v>5</v>
      </c>
      <c r="K368" s="3">
        <v>5</v>
      </c>
      <c r="L368" s="3">
        <v>5</v>
      </c>
      <c r="M368" s="3">
        <v>5</v>
      </c>
    </row>
    <row r="369" spans="1:13">
      <c r="A369" t="s">
        <v>215</v>
      </c>
      <c r="B369" t="s">
        <v>524</v>
      </c>
      <c r="C369" t="s">
        <v>580</v>
      </c>
      <c r="D369" t="s">
        <v>3</v>
      </c>
      <c r="E369" t="s">
        <v>128</v>
      </c>
      <c r="F369" s="2">
        <v>44653</v>
      </c>
      <c r="G369" s="3">
        <v>5</v>
      </c>
      <c r="H369" s="3">
        <v>4</v>
      </c>
      <c r="I369" s="3">
        <v>5</v>
      </c>
      <c r="J369" s="3">
        <v>5</v>
      </c>
      <c r="K369" s="3">
        <v>5</v>
      </c>
      <c r="L369" s="3">
        <v>5</v>
      </c>
      <c r="M369" s="3">
        <v>5</v>
      </c>
    </row>
    <row r="370" spans="1:13">
      <c r="A370" t="s">
        <v>660</v>
      </c>
      <c r="B370" t="s">
        <v>2</v>
      </c>
      <c r="C370" t="s">
        <v>198</v>
      </c>
      <c r="D370" t="s">
        <v>3</v>
      </c>
      <c r="E370" t="s">
        <v>43</v>
      </c>
      <c r="F370" s="2">
        <v>44714</v>
      </c>
      <c r="G370" s="3">
        <v>5</v>
      </c>
      <c r="H370" s="3">
        <v>5</v>
      </c>
      <c r="I370" s="3">
        <v>5</v>
      </c>
      <c r="J370" s="3">
        <v>5</v>
      </c>
      <c r="K370" s="3">
        <v>5</v>
      </c>
      <c r="L370" s="3">
        <v>5</v>
      </c>
      <c r="M370" s="3">
        <v>5</v>
      </c>
    </row>
    <row r="371" spans="1:13">
      <c r="A371" t="s">
        <v>661</v>
      </c>
      <c r="B371" t="s">
        <v>2</v>
      </c>
      <c r="C371" t="s">
        <v>198</v>
      </c>
      <c r="D371" t="s">
        <v>3</v>
      </c>
      <c r="E371" t="s">
        <v>49</v>
      </c>
      <c r="F371" s="2">
        <v>44652</v>
      </c>
      <c r="G371" s="3">
        <v>4</v>
      </c>
      <c r="H371" s="3">
        <v>5</v>
      </c>
      <c r="I371" s="3">
        <v>4</v>
      </c>
      <c r="J371" s="3">
        <v>2</v>
      </c>
      <c r="K371" s="3">
        <v>5</v>
      </c>
      <c r="L371" s="3">
        <v>5</v>
      </c>
      <c r="M371" s="3">
        <v>3</v>
      </c>
    </row>
    <row r="372" spans="1:13">
      <c r="A372" t="s">
        <v>217</v>
      </c>
      <c r="B372" t="s">
        <v>286</v>
      </c>
      <c r="C372" t="s">
        <v>198</v>
      </c>
      <c r="D372" t="s">
        <v>3</v>
      </c>
      <c r="E372" t="s">
        <v>12</v>
      </c>
      <c r="F372" s="2">
        <v>44655</v>
      </c>
      <c r="G372" s="3">
        <v>4</v>
      </c>
      <c r="H372" s="3">
        <v>3</v>
      </c>
      <c r="I372" s="3">
        <v>3</v>
      </c>
      <c r="J372" s="3">
        <v>4</v>
      </c>
      <c r="K372" s="3">
        <v>5</v>
      </c>
      <c r="L372" s="3">
        <v>4</v>
      </c>
      <c r="M372" s="3">
        <v>4</v>
      </c>
    </row>
    <row r="373" spans="1:13">
      <c r="A373" t="s">
        <v>28</v>
      </c>
      <c r="B373" t="s">
        <v>2</v>
      </c>
      <c r="C373" t="s">
        <v>198</v>
      </c>
      <c r="D373" t="s">
        <v>3</v>
      </c>
      <c r="E373" t="s">
        <v>23</v>
      </c>
      <c r="F373" s="2">
        <v>44715</v>
      </c>
      <c r="G373" s="3">
        <v>5</v>
      </c>
      <c r="H373" s="3">
        <v>4</v>
      </c>
      <c r="I373" s="3">
        <v>5</v>
      </c>
      <c r="J373" s="3">
        <v>5</v>
      </c>
      <c r="K373" s="3">
        <v>5</v>
      </c>
      <c r="L373" s="3">
        <v>5</v>
      </c>
      <c r="M373" s="3">
        <v>5</v>
      </c>
    </row>
    <row r="374" spans="1:13">
      <c r="A374" t="s">
        <v>218</v>
      </c>
      <c r="B374" t="s">
        <v>39</v>
      </c>
      <c r="C374" s="1" t="s">
        <v>581</v>
      </c>
      <c r="D374" t="s">
        <v>3</v>
      </c>
      <c r="E374" t="s">
        <v>219</v>
      </c>
      <c r="F374" s="2">
        <v>44621</v>
      </c>
      <c r="G374" s="3">
        <v>2</v>
      </c>
      <c r="H374" s="3">
        <v>2</v>
      </c>
      <c r="I374" s="3">
        <v>2</v>
      </c>
      <c r="J374" s="3">
        <v>2</v>
      </c>
      <c r="K374" s="3">
        <v>2</v>
      </c>
      <c r="L374" s="3">
        <v>3</v>
      </c>
      <c r="M374" s="3">
        <v>2</v>
      </c>
    </row>
    <row r="375" spans="1:13">
      <c r="A375" t="s">
        <v>220</v>
      </c>
      <c r="B375" t="s">
        <v>2</v>
      </c>
      <c r="C375" t="s">
        <v>198</v>
      </c>
      <c r="D375" t="s">
        <v>3</v>
      </c>
      <c r="E375" t="s">
        <v>4</v>
      </c>
      <c r="F375" s="2">
        <v>44901</v>
      </c>
      <c r="G375" s="3">
        <v>1</v>
      </c>
      <c r="H375" s="3">
        <v>2</v>
      </c>
      <c r="I375" s="3">
        <v>1</v>
      </c>
      <c r="J375" s="3">
        <v>2</v>
      </c>
      <c r="K375" s="3">
        <v>3</v>
      </c>
      <c r="L375" s="3">
        <v>1</v>
      </c>
      <c r="M375" s="3">
        <v>1</v>
      </c>
    </row>
    <row r="376" spans="1:13">
      <c r="A376" t="s">
        <v>28</v>
      </c>
      <c r="B376" t="s">
        <v>2</v>
      </c>
      <c r="C376" t="s">
        <v>198</v>
      </c>
      <c r="D376" t="s">
        <v>3</v>
      </c>
      <c r="E376" t="s">
        <v>79</v>
      </c>
      <c r="F376" s="2">
        <v>44685</v>
      </c>
      <c r="G376" s="3">
        <v>3</v>
      </c>
      <c r="H376" s="3">
        <v>4</v>
      </c>
      <c r="I376" s="3">
        <v>4</v>
      </c>
      <c r="J376" s="3">
        <v>4</v>
      </c>
      <c r="K376" s="3">
        <v>3</v>
      </c>
      <c r="L376" s="3">
        <v>3</v>
      </c>
      <c r="M376" s="3">
        <v>3</v>
      </c>
    </row>
    <row r="377" spans="1:13">
      <c r="A377" t="s">
        <v>221</v>
      </c>
      <c r="B377" t="s">
        <v>286</v>
      </c>
      <c r="C377" t="s">
        <v>198</v>
      </c>
      <c r="D377" t="s">
        <v>3</v>
      </c>
      <c r="E377" t="s">
        <v>52</v>
      </c>
      <c r="F377" s="2">
        <v>44660</v>
      </c>
      <c r="G377" s="3">
        <v>5</v>
      </c>
      <c r="H377" s="3">
        <v>5</v>
      </c>
      <c r="I377" s="3">
        <v>5</v>
      </c>
      <c r="J377" s="3">
        <v>5</v>
      </c>
      <c r="K377" s="3">
        <v>5</v>
      </c>
      <c r="L377" s="3">
        <v>5</v>
      </c>
      <c r="M377" s="3">
        <v>5</v>
      </c>
    </row>
    <row r="378" spans="1:13">
      <c r="A378" t="s">
        <v>1</v>
      </c>
      <c r="B378" t="s">
        <v>2</v>
      </c>
      <c r="C378" t="s">
        <v>198</v>
      </c>
      <c r="D378" t="s">
        <v>3</v>
      </c>
      <c r="E378" t="s">
        <v>616</v>
      </c>
      <c r="F378" s="2">
        <v>44775</v>
      </c>
      <c r="G378" s="3">
        <v>3</v>
      </c>
      <c r="H378" s="3">
        <v>3</v>
      </c>
      <c r="I378" s="3">
        <v>3</v>
      </c>
      <c r="J378" s="3">
        <v>4</v>
      </c>
      <c r="K378" s="3">
        <v>5</v>
      </c>
      <c r="L378" s="3">
        <v>4</v>
      </c>
      <c r="M378" s="3">
        <v>5</v>
      </c>
    </row>
    <row r="379" spans="1:13">
      <c r="A379" t="s">
        <v>222</v>
      </c>
      <c r="B379" t="s">
        <v>243</v>
      </c>
      <c r="C379" t="s">
        <v>574</v>
      </c>
      <c r="D379" t="s">
        <v>3</v>
      </c>
      <c r="E379" t="s">
        <v>15</v>
      </c>
      <c r="F379" s="2">
        <v>44775</v>
      </c>
      <c r="G379" s="3">
        <v>4</v>
      </c>
      <c r="H379" s="3">
        <v>5</v>
      </c>
      <c r="I379" s="3">
        <v>4</v>
      </c>
      <c r="J379" s="3">
        <v>4</v>
      </c>
      <c r="K379" s="3">
        <v>5</v>
      </c>
      <c r="L379" s="3">
        <v>5</v>
      </c>
      <c r="M379" s="3">
        <v>4</v>
      </c>
    </row>
    <row r="380" spans="1:13">
      <c r="A380" t="s">
        <v>223</v>
      </c>
      <c r="B380" t="s">
        <v>564</v>
      </c>
      <c r="C380" t="s">
        <v>50</v>
      </c>
      <c r="D380" t="s">
        <v>3</v>
      </c>
      <c r="E380" t="s">
        <v>49</v>
      </c>
      <c r="F380" s="2">
        <v>44658</v>
      </c>
      <c r="G380" s="3">
        <v>4</v>
      </c>
      <c r="H380" s="3">
        <v>2</v>
      </c>
      <c r="I380" s="3">
        <v>2</v>
      </c>
      <c r="J380" s="3">
        <v>2</v>
      </c>
      <c r="K380" s="3">
        <v>3</v>
      </c>
      <c r="L380" s="3">
        <v>2</v>
      </c>
      <c r="M380" s="3">
        <v>2</v>
      </c>
    </row>
    <row r="381" spans="1:13">
      <c r="A381" t="s">
        <v>224</v>
      </c>
      <c r="B381" t="s">
        <v>565</v>
      </c>
      <c r="C381" t="s">
        <v>318</v>
      </c>
      <c r="D381" t="s">
        <v>3</v>
      </c>
      <c r="E381" t="s">
        <v>34</v>
      </c>
      <c r="F381" s="2">
        <v>44593</v>
      </c>
      <c r="G381" s="3">
        <v>5</v>
      </c>
      <c r="H381" s="3">
        <v>3</v>
      </c>
      <c r="I381" s="3">
        <v>5</v>
      </c>
      <c r="J381" s="3">
        <v>3</v>
      </c>
      <c r="K381" s="3">
        <v>3</v>
      </c>
      <c r="L381" s="3">
        <v>4</v>
      </c>
      <c r="M381" s="3">
        <v>4</v>
      </c>
    </row>
    <row r="382" spans="1:13">
      <c r="A382" t="s">
        <v>30</v>
      </c>
      <c r="B382" t="s">
        <v>2</v>
      </c>
      <c r="C382" t="s">
        <v>198</v>
      </c>
      <c r="D382" t="s">
        <v>3</v>
      </c>
      <c r="E382" t="s">
        <v>199</v>
      </c>
      <c r="F382" s="2">
        <v>44686</v>
      </c>
      <c r="G382" s="3">
        <v>1</v>
      </c>
      <c r="H382" s="3">
        <v>5</v>
      </c>
      <c r="I382" s="3">
        <v>1</v>
      </c>
      <c r="J382" s="3">
        <v>2</v>
      </c>
      <c r="K382" s="3">
        <v>5</v>
      </c>
      <c r="L382" s="3">
        <v>3</v>
      </c>
      <c r="M382" s="3">
        <v>1</v>
      </c>
    </row>
    <row r="383" spans="1:13">
      <c r="A383" t="s">
        <v>663</v>
      </c>
      <c r="B383" t="s">
        <v>2</v>
      </c>
      <c r="C383" t="s">
        <v>198</v>
      </c>
      <c r="D383" t="s">
        <v>3</v>
      </c>
      <c r="E383" t="s">
        <v>225</v>
      </c>
      <c r="F383" s="2">
        <v>44687</v>
      </c>
      <c r="G383" s="3">
        <v>5</v>
      </c>
      <c r="H383" s="3">
        <v>5</v>
      </c>
      <c r="I383" s="3">
        <v>4</v>
      </c>
      <c r="J383" s="3">
        <v>5</v>
      </c>
      <c r="K383" s="3">
        <v>5</v>
      </c>
      <c r="L383" s="3">
        <v>4</v>
      </c>
      <c r="M383" s="3">
        <v>5</v>
      </c>
    </row>
    <row r="384" spans="1:13">
      <c r="A384" t="s">
        <v>226</v>
      </c>
      <c r="B384" t="s">
        <v>558</v>
      </c>
      <c r="C384" t="s">
        <v>558</v>
      </c>
      <c r="D384" t="s">
        <v>3</v>
      </c>
      <c r="E384" t="s">
        <v>558</v>
      </c>
      <c r="F384" s="2">
        <v>44652</v>
      </c>
      <c r="G384" s="3">
        <v>1</v>
      </c>
      <c r="H384" s="3">
        <v>5</v>
      </c>
      <c r="I384" s="3">
        <v>5</v>
      </c>
      <c r="J384" s="3">
        <v>5</v>
      </c>
      <c r="K384" s="3">
        <v>5</v>
      </c>
      <c r="L384" s="3">
        <v>5</v>
      </c>
      <c r="M384" s="3">
        <v>5</v>
      </c>
    </row>
    <row r="385" spans="1:13">
      <c r="A385" t="s">
        <v>554</v>
      </c>
      <c r="B385" t="s">
        <v>2</v>
      </c>
      <c r="C385" t="s">
        <v>198</v>
      </c>
      <c r="D385" t="s">
        <v>3</v>
      </c>
      <c r="E385" t="s">
        <v>12</v>
      </c>
      <c r="F385" s="2">
        <v>44659</v>
      </c>
      <c r="G385" s="3">
        <v>4</v>
      </c>
      <c r="H385" s="3">
        <v>4</v>
      </c>
      <c r="I385" s="3">
        <v>5</v>
      </c>
      <c r="J385" s="3">
        <v>4</v>
      </c>
      <c r="K385" s="3">
        <v>5</v>
      </c>
      <c r="L385" s="3">
        <v>5</v>
      </c>
      <c r="M385" s="3">
        <v>5</v>
      </c>
    </row>
    <row r="386" spans="1:13">
      <c r="A386" t="s">
        <v>227</v>
      </c>
      <c r="B386" t="s">
        <v>243</v>
      </c>
      <c r="C386" t="s">
        <v>574</v>
      </c>
      <c r="D386" t="s">
        <v>3</v>
      </c>
      <c r="E386" t="s">
        <v>558</v>
      </c>
      <c r="F386" s="2">
        <v>44749</v>
      </c>
      <c r="G386" s="3">
        <v>4</v>
      </c>
      <c r="H386" s="3">
        <v>5</v>
      </c>
      <c r="I386" s="3">
        <v>4</v>
      </c>
      <c r="J386" s="3">
        <v>4</v>
      </c>
      <c r="K386" s="3">
        <v>5</v>
      </c>
      <c r="L386" s="3">
        <v>4</v>
      </c>
      <c r="M386" s="3">
        <v>4</v>
      </c>
    </row>
    <row r="387" spans="1:13">
      <c r="A387" t="s">
        <v>31</v>
      </c>
      <c r="B387" t="s">
        <v>558</v>
      </c>
      <c r="C387" t="s">
        <v>558</v>
      </c>
      <c r="D387" t="s">
        <v>3</v>
      </c>
      <c r="E387" t="s">
        <v>26</v>
      </c>
      <c r="F387" s="2">
        <v>45049</v>
      </c>
      <c r="G387" s="3">
        <v>5</v>
      </c>
      <c r="H387" s="3">
        <v>4</v>
      </c>
      <c r="I387" s="3">
        <v>5</v>
      </c>
      <c r="J387" s="3">
        <v>2</v>
      </c>
      <c r="K387" s="3">
        <v>4</v>
      </c>
      <c r="L387" s="3">
        <v>3</v>
      </c>
      <c r="M387" s="3">
        <v>2</v>
      </c>
    </row>
    <row r="388" spans="1:13">
      <c r="A388" t="s">
        <v>664</v>
      </c>
      <c r="B388" t="s">
        <v>383</v>
      </c>
      <c r="C388" t="s">
        <v>582</v>
      </c>
      <c r="D388" t="s">
        <v>3</v>
      </c>
      <c r="E388" t="s">
        <v>63</v>
      </c>
      <c r="F388" s="2">
        <v>44687</v>
      </c>
      <c r="G388" s="3">
        <v>5</v>
      </c>
      <c r="H388" s="3">
        <v>5</v>
      </c>
      <c r="I388" s="3">
        <v>5</v>
      </c>
      <c r="J388" s="3">
        <v>5</v>
      </c>
      <c r="K388" s="3">
        <v>5</v>
      </c>
      <c r="L388" s="3">
        <v>5</v>
      </c>
      <c r="M388" s="3">
        <v>5</v>
      </c>
    </row>
    <row r="389" spans="1:13">
      <c r="A389" t="s">
        <v>554</v>
      </c>
      <c r="B389" t="s">
        <v>2</v>
      </c>
      <c r="C389" t="s">
        <v>198</v>
      </c>
      <c r="D389" t="s">
        <v>3</v>
      </c>
      <c r="E389" t="s">
        <v>66</v>
      </c>
      <c r="F389" s="2">
        <v>44749</v>
      </c>
      <c r="G389" s="3">
        <v>4</v>
      </c>
      <c r="H389" s="3">
        <v>4</v>
      </c>
      <c r="I389" s="3">
        <v>3</v>
      </c>
      <c r="J389" s="3">
        <v>3</v>
      </c>
      <c r="K389" s="3">
        <v>5</v>
      </c>
      <c r="L389" s="3">
        <v>4</v>
      </c>
      <c r="M389" s="3">
        <v>4</v>
      </c>
    </row>
    <row r="390" spans="1:13">
      <c r="A390" t="s">
        <v>644</v>
      </c>
      <c r="B390" t="s">
        <v>2</v>
      </c>
      <c r="C390" t="s">
        <v>198</v>
      </c>
      <c r="D390" t="s">
        <v>3</v>
      </c>
      <c r="E390" t="s">
        <v>15</v>
      </c>
      <c r="F390" s="2">
        <v>44682</v>
      </c>
      <c r="G390" s="3">
        <v>5</v>
      </c>
      <c r="H390" s="3">
        <v>5</v>
      </c>
      <c r="I390" s="3">
        <v>5</v>
      </c>
      <c r="J390" s="3">
        <v>4</v>
      </c>
      <c r="K390" s="3">
        <v>5</v>
      </c>
      <c r="L390" s="3">
        <v>5</v>
      </c>
      <c r="M390" s="3">
        <v>4</v>
      </c>
    </row>
    <row r="391" spans="1:13">
      <c r="A391" t="s">
        <v>1</v>
      </c>
      <c r="B391" t="s">
        <v>2</v>
      </c>
      <c r="C391" t="s">
        <v>198</v>
      </c>
      <c r="D391" t="s">
        <v>3</v>
      </c>
      <c r="E391" t="s">
        <v>26</v>
      </c>
      <c r="F391" s="2">
        <v>44566</v>
      </c>
      <c r="G391" s="3">
        <v>3</v>
      </c>
      <c r="H391" s="3">
        <v>3</v>
      </c>
      <c r="I391" s="3">
        <v>2</v>
      </c>
      <c r="J391" s="3">
        <v>3</v>
      </c>
      <c r="K391" s="3">
        <v>4</v>
      </c>
      <c r="L391" s="3">
        <v>3</v>
      </c>
      <c r="M391" s="3">
        <v>3</v>
      </c>
    </row>
    <row r="392" spans="1:13">
      <c r="A392" t="s">
        <v>94</v>
      </c>
      <c r="B392" t="s">
        <v>558</v>
      </c>
      <c r="C392" t="s">
        <v>558</v>
      </c>
      <c r="D392" t="s">
        <v>3</v>
      </c>
      <c r="E392" t="s">
        <v>34</v>
      </c>
      <c r="F392" s="2">
        <v>45017</v>
      </c>
      <c r="G392" s="3">
        <v>5</v>
      </c>
      <c r="H392" s="3">
        <v>3</v>
      </c>
      <c r="I392" s="3">
        <v>5</v>
      </c>
      <c r="J392" s="3">
        <v>5</v>
      </c>
      <c r="K392" s="3">
        <v>5</v>
      </c>
      <c r="L392" s="3">
        <v>5</v>
      </c>
      <c r="M392" s="3">
        <v>4</v>
      </c>
    </row>
    <row r="393" spans="1:13">
      <c r="A393" t="s">
        <v>7</v>
      </c>
      <c r="B393" t="s">
        <v>2</v>
      </c>
      <c r="C393" t="s">
        <v>198</v>
      </c>
      <c r="D393" t="s">
        <v>3</v>
      </c>
      <c r="E393" t="s">
        <v>26</v>
      </c>
      <c r="F393" s="2">
        <v>44660</v>
      </c>
      <c r="G393" s="3">
        <v>5</v>
      </c>
      <c r="H393" s="3">
        <v>4</v>
      </c>
      <c r="I393" s="3">
        <v>4</v>
      </c>
      <c r="J393" s="3">
        <v>4</v>
      </c>
      <c r="K393" s="3">
        <v>5</v>
      </c>
      <c r="L393" s="3">
        <v>4</v>
      </c>
      <c r="M393" s="3">
        <v>4</v>
      </c>
    </row>
    <row r="394" spans="1:13">
      <c r="A394" t="s">
        <v>31</v>
      </c>
      <c r="B394" t="s">
        <v>2</v>
      </c>
      <c r="C394" t="s">
        <v>198</v>
      </c>
      <c r="D394" t="s">
        <v>3</v>
      </c>
      <c r="E394" t="s">
        <v>26</v>
      </c>
      <c r="F394" s="2">
        <v>44659</v>
      </c>
      <c r="G394" s="3">
        <v>4</v>
      </c>
      <c r="H394" s="3">
        <v>4</v>
      </c>
      <c r="I394" s="3">
        <v>4</v>
      </c>
      <c r="J394" s="3">
        <v>3</v>
      </c>
      <c r="K394" s="3">
        <v>5</v>
      </c>
      <c r="L394" s="3">
        <v>4</v>
      </c>
      <c r="M394" s="3">
        <v>4</v>
      </c>
    </row>
    <row r="395" spans="1:13">
      <c r="A395" t="s">
        <v>1</v>
      </c>
      <c r="B395" t="s">
        <v>2</v>
      </c>
      <c r="C395" t="s">
        <v>198</v>
      </c>
      <c r="D395" t="s">
        <v>3</v>
      </c>
      <c r="E395" t="s">
        <v>23</v>
      </c>
      <c r="F395" s="2">
        <v>44686</v>
      </c>
      <c r="G395" s="3">
        <v>4</v>
      </c>
      <c r="H395" s="3">
        <v>3</v>
      </c>
      <c r="I395" s="3">
        <v>3</v>
      </c>
      <c r="J395" s="3">
        <v>3</v>
      </c>
      <c r="K395" s="3">
        <v>5</v>
      </c>
      <c r="L395" s="3">
        <v>4</v>
      </c>
      <c r="M395" s="3">
        <v>3</v>
      </c>
    </row>
    <row r="396" spans="1:13">
      <c r="A396" t="s">
        <v>71</v>
      </c>
      <c r="B396" t="s">
        <v>72</v>
      </c>
      <c r="C396" t="s">
        <v>578</v>
      </c>
      <c r="D396" t="s">
        <v>3</v>
      </c>
      <c r="E396" t="s">
        <v>619</v>
      </c>
      <c r="F396" s="2">
        <v>44652</v>
      </c>
      <c r="G396" s="3">
        <v>5</v>
      </c>
      <c r="H396" s="3">
        <v>5</v>
      </c>
      <c r="I396" s="3">
        <v>4</v>
      </c>
      <c r="J396" s="3">
        <v>4</v>
      </c>
      <c r="K396" s="3">
        <v>4</v>
      </c>
      <c r="L396" s="3">
        <v>5</v>
      </c>
      <c r="M396" s="3">
        <v>3</v>
      </c>
    </row>
    <row r="397" spans="1:13">
      <c r="A397" t="s">
        <v>228</v>
      </c>
      <c r="B397" t="s">
        <v>213</v>
      </c>
      <c r="C397" t="s">
        <v>198</v>
      </c>
      <c r="D397" t="s">
        <v>3</v>
      </c>
      <c r="E397" t="s">
        <v>23</v>
      </c>
      <c r="F397" s="2">
        <v>44688</v>
      </c>
      <c r="G397" s="3">
        <v>5</v>
      </c>
      <c r="H397" s="3">
        <v>5</v>
      </c>
      <c r="I397" s="3">
        <v>5</v>
      </c>
      <c r="J397" s="3">
        <v>5</v>
      </c>
      <c r="K397" s="3">
        <v>5</v>
      </c>
      <c r="L397" s="3">
        <v>5</v>
      </c>
      <c r="M397" s="3">
        <v>5</v>
      </c>
    </row>
    <row r="398" spans="1:13">
      <c r="A398" t="s">
        <v>229</v>
      </c>
      <c r="B398" t="s">
        <v>78</v>
      </c>
      <c r="C398" t="s">
        <v>569</v>
      </c>
      <c r="D398" t="s">
        <v>3</v>
      </c>
      <c r="E398" t="s">
        <v>23</v>
      </c>
      <c r="F398" s="2">
        <v>44684</v>
      </c>
      <c r="G398" s="3">
        <v>5</v>
      </c>
      <c r="H398" s="3">
        <v>4</v>
      </c>
      <c r="I398" s="3">
        <v>5</v>
      </c>
      <c r="J398" s="3">
        <v>5</v>
      </c>
      <c r="K398" s="3">
        <v>5</v>
      </c>
      <c r="L398" s="3">
        <v>4</v>
      </c>
      <c r="M398" s="3">
        <v>5</v>
      </c>
    </row>
    <row r="399" spans="1:13">
      <c r="A399" t="s">
        <v>230</v>
      </c>
      <c r="B399" t="s">
        <v>2</v>
      </c>
      <c r="C399" t="s">
        <v>198</v>
      </c>
      <c r="D399" t="s">
        <v>3</v>
      </c>
      <c r="E399" t="s">
        <v>26</v>
      </c>
      <c r="F399" s="2">
        <v>44713</v>
      </c>
      <c r="G399" s="3">
        <v>5</v>
      </c>
      <c r="H399" s="3">
        <v>5</v>
      </c>
      <c r="I399" s="3">
        <v>3</v>
      </c>
      <c r="J399" s="3">
        <v>3</v>
      </c>
      <c r="K399" s="3">
        <v>5</v>
      </c>
      <c r="L399" s="3">
        <v>3</v>
      </c>
      <c r="M399" s="3">
        <v>3</v>
      </c>
    </row>
    <row r="400" spans="1:13">
      <c r="A400" t="s">
        <v>665</v>
      </c>
      <c r="B400" t="s">
        <v>78</v>
      </c>
      <c r="C400" t="s">
        <v>569</v>
      </c>
      <c r="D400" t="s">
        <v>3</v>
      </c>
      <c r="E400" t="s">
        <v>558</v>
      </c>
      <c r="F400" s="2">
        <v>44898</v>
      </c>
      <c r="G400" s="3">
        <v>4</v>
      </c>
      <c r="H400" s="3">
        <v>4</v>
      </c>
      <c r="I400" s="3">
        <v>4</v>
      </c>
      <c r="J400" s="3">
        <v>4</v>
      </c>
      <c r="K400" s="3">
        <v>4</v>
      </c>
      <c r="L400" s="3">
        <v>4</v>
      </c>
      <c r="M400" s="3">
        <v>4</v>
      </c>
    </row>
    <row r="401" spans="1:13">
      <c r="A401" t="s">
        <v>1</v>
      </c>
      <c r="B401" t="s">
        <v>2</v>
      </c>
      <c r="C401" t="s">
        <v>198</v>
      </c>
      <c r="D401" t="s">
        <v>3</v>
      </c>
      <c r="E401" t="s">
        <v>666</v>
      </c>
      <c r="F401" s="2">
        <v>44596</v>
      </c>
      <c r="G401" s="3">
        <v>4</v>
      </c>
      <c r="H401" s="3">
        <v>4</v>
      </c>
      <c r="I401" s="3">
        <v>4</v>
      </c>
      <c r="J401" s="3">
        <v>4</v>
      </c>
      <c r="K401" s="3">
        <v>4</v>
      </c>
      <c r="L401" s="3">
        <v>5</v>
      </c>
      <c r="M401" s="3">
        <v>5</v>
      </c>
    </row>
    <row r="402" spans="1:13">
      <c r="A402" t="s">
        <v>98</v>
      </c>
      <c r="B402" t="s">
        <v>243</v>
      </c>
      <c r="C402" t="str" cm="1">
        <f t="array" ref="C402">_xlfn.IFS(B402="Neemrana","Rajasthan",B402="Tadepalligudem","Andhra Pradesh",B402="Kolkata","West Bengal",B402="Unknown","Unknown",B402="Andheri East,Chakala","Mumbai",B402="Ahmadnagar","Maharastra",B402="Sri City","Andhra Pradesh",B402="Gurgaon","Haryana",B402="Ahmedbad","Gujarat",B402="Jaipur","Rajasthan",B402="Chennai","Tamil Nadu")</f>
        <v>Haryana</v>
      </c>
      <c r="D402" t="s">
        <v>3</v>
      </c>
      <c r="E402" t="s">
        <v>135</v>
      </c>
      <c r="F402" s="2">
        <v>44471</v>
      </c>
      <c r="G402" s="3">
        <v>5</v>
      </c>
      <c r="H402" s="3">
        <v>5</v>
      </c>
      <c r="I402" s="3">
        <v>5</v>
      </c>
      <c r="J402" s="3">
        <v>4</v>
      </c>
      <c r="K402" s="3">
        <v>5</v>
      </c>
      <c r="L402" s="3">
        <v>5</v>
      </c>
      <c r="M402" s="3">
        <v>3</v>
      </c>
    </row>
    <row r="403" spans="1:13">
      <c r="A403" t="s">
        <v>232</v>
      </c>
      <c r="B403" t="s">
        <v>50</v>
      </c>
      <c r="C403" t="s">
        <v>50</v>
      </c>
      <c r="D403" t="s">
        <v>3</v>
      </c>
      <c r="E403" t="s">
        <v>66</v>
      </c>
      <c r="F403" s="2">
        <v>44569</v>
      </c>
      <c r="G403" s="3">
        <v>5</v>
      </c>
      <c r="H403" s="3">
        <v>3</v>
      </c>
      <c r="I403" s="3">
        <v>3</v>
      </c>
      <c r="J403" s="3">
        <v>3</v>
      </c>
      <c r="K403" s="3">
        <v>4</v>
      </c>
      <c r="L403" s="3">
        <v>4</v>
      </c>
      <c r="M403" s="3">
        <v>2</v>
      </c>
    </row>
    <row r="404" spans="1:13">
      <c r="A404" t="s">
        <v>1</v>
      </c>
      <c r="B404" t="s">
        <v>2</v>
      </c>
      <c r="C404" t="s">
        <v>198</v>
      </c>
      <c r="D404" t="s">
        <v>3</v>
      </c>
      <c r="E404" t="s">
        <v>4</v>
      </c>
      <c r="F404" s="2">
        <v>44962</v>
      </c>
      <c r="G404" s="3">
        <v>5</v>
      </c>
      <c r="H404" s="3">
        <v>5</v>
      </c>
      <c r="I404" s="3">
        <v>5</v>
      </c>
      <c r="J404" s="3">
        <v>3</v>
      </c>
      <c r="K404" s="3">
        <v>5</v>
      </c>
      <c r="L404" s="3">
        <v>5</v>
      </c>
      <c r="M404" s="3">
        <v>5</v>
      </c>
    </row>
    <row r="405" spans="1:13">
      <c r="A405" t="s">
        <v>233</v>
      </c>
      <c r="B405" t="s">
        <v>2</v>
      </c>
      <c r="C405" t="s">
        <v>198</v>
      </c>
      <c r="D405" t="s">
        <v>3</v>
      </c>
      <c r="E405" t="s">
        <v>26</v>
      </c>
      <c r="F405" s="2">
        <v>44689</v>
      </c>
      <c r="G405" s="3">
        <v>5</v>
      </c>
      <c r="H405" s="3">
        <v>5</v>
      </c>
      <c r="I405" s="3">
        <v>5</v>
      </c>
      <c r="J405" s="3">
        <v>5</v>
      </c>
      <c r="K405" s="3">
        <v>5</v>
      </c>
      <c r="L405" s="3">
        <v>5</v>
      </c>
      <c r="M405" s="3">
        <v>5</v>
      </c>
    </row>
    <row r="406" spans="1:13">
      <c r="A406" t="s">
        <v>234</v>
      </c>
      <c r="B406" t="s">
        <v>142</v>
      </c>
      <c r="C406" t="s">
        <v>579</v>
      </c>
      <c r="D406" t="s">
        <v>3</v>
      </c>
      <c r="E406" t="s">
        <v>59</v>
      </c>
      <c r="F406" s="2">
        <v>44566</v>
      </c>
      <c r="G406" s="3">
        <v>5</v>
      </c>
      <c r="H406" s="3">
        <v>4</v>
      </c>
      <c r="I406" s="3">
        <v>5</v>
      </c>
      <c r="J406" s="3">
        <v>2</v>
      </c>
      <c r="K406" s="3">
        <v>2</v>
      </c>
      <c r="L406" s="3">
        <v>4</v>
      </c>
      <c r="M406" s="3">
        <v>2</v>
      </c>
    </row>
    <row r="407" spans="1:13">
      <c r="A407" t="s">
        <v>222</v>
      </c>
      <c r="B407" t="s">
        <v>2</v>
      </c>
      <c r="C407" t="s">
        <v>198</v>
      </c>
      <c r="D407" t="s">
        <v>3</v>
      </c>
      <c r="E407" t="s">
        <v>558</v>
      </c>
      <c r="F407" s="2">
        <v>44986</v>
      </c>
      <c r="G407" s="3">
        <v>5</v>
      </c>
      <c r="H407" s="3">
        <v>4</v>
      </c>
      <c r="I407" s="3">
        <v>3</v>
      </c>
      <c r="J407" s="3">
        <v>4</v>
      </c>
      <c r="K407" s="3">
        <v>4</v>
      </c>
      <c r="L407" s="3">
        <v>5</v>
      </c>
      <c r="M407" s="3">
        <v>4</v>
      </c>
    </row>
    <row r="408" spans="1:13">
      <c r="A408" t="s">
        <v>235</v>
      </c>
      <c r="B408" t="s">
        <v>78</v>
      </c>
      <c r="C408" t="s">
        <v>569</v>
      </c>
      <c r="D408" t="s">
        <v>3</v>
      </c>
      <c r="E408" t="s">
        <v>63</v>
      </c>
      <c r="F408" s="2">
        <v>44688</v>
      </c>
      <c r="G408" s="3">
        <v>4</v>
      </c>
      <c r="H408" s="3">
        <v>4</v>
      </c>
      <c r="I408" s="3">
        <v>5</v>
      </c>
      <c r="J408" s="3">
        <v>4</v>
      </c>
      <c r="K408" s="3">
        <v>4</v>
      </c>
      <c r="L408" s="3">
        <v>4</v>
      </c>
      <c r="M408" s="3">
        <v>3</v>
      </c>
    </row>
    <row r="409" spans="1:13">
      <c r="A409" t="s">
        <v>595</v>
      </c>
      <c r="B409" t="s">
        <v>207</v>
      </c>
      <c r="C409" t="s">
        <v>50</v>
      </c>
      <c r="D409" t="s">
        <v>3</v>
      </c>
      <c r="E409" t="s">
        <v>627</v>
      </c>
      <c r="F409" s="2">
        <v>44748</v>
      </c>
      <c r="G409" s="3">
        <v>5</v>
      </c>
      <c r="H409" s="3">
        <v>5</v>
      </c>
      <c r="I409" s="3">
        <v>3</v>
      </c>
      <c r="J409" s="3">
        <v>3</v>
      </c>
      <c r="K409" s="3">
        <v>3</v>
      </c>
      <c r="L409" s="3">
        <v>5</v>
      </c>
      <c r="M409" s="3">
        <v>3</v>
      </c>
    </row>
    <row r="410" spans="1:13">
      <c r="A410" t="s">
        <v>88</v>
      </c>
      <c r="B410" t="s">
        <v>2</v>
      </c>
      <c r="C410" t="s">
        <v>198</v>
      </c>
      <c r="D410" t="s">
        <v>3</v>
      </c>
      <c r="E410" t="s">
        <v>139</v>
      </c>
      <c r="F410" s="2">
        <v>44660</v>
      </c>
      <c r="G410" s="3">
        <v>5</v>
      </c>
      <c r="H410" s="3">
        <v>4</v>
      </c>
      <c r="I410" s="3">
        <v>5</v>
      </c>
      <c r="J410" s="3">
        <v>5</v>
      </c>
      <c r="K410" s="3">
        <v>5</v>
      </c>
      <c r="L410" s="3">
        <v>5</v>
      </c>
      <c r="M410" s="3">
        <v>4</v>
      </c>
    </row>
    <row r="411" spans="1:13">
      <c r="A411" t="s">
        <v>236</v>
      </c>
      <c r="B411" t="s">
        <v>2</v>
      </c>
      <c r="C411" t="s">
        <v>198</v>
      </c>
      <c r="D411" t="s">
        <v>3</v>
      </c>
      <c r="E411" t="s">
        <v>237</v>
      </c>
      <c r="F411" s="2">
        <v>44751</v>
      </c>
      <c r="G411" s="3">
        <v>2</v>
      </c>
      <c r="H411" s="3">
        <v>2</v>
      </c>
      <c r="I411" s="3">
        <v>2</v>
      </c>
      <c r="J411" s="3">
        <v>2</v>
      </c>
      <c r="K411" s="3">
        <v>2</v>
      </c>
      <c r="L411" s="3">
        <v>2</v>
      </c>
      <c r="M411" s="3">
        <v>2</v>
      </c>
    </row>
    <row r="412" spans="1:13">
      <c r="A412" t="s">
        <v>105</v>
      </c>
      <c r="B412" t="s">
        <v>2</v>
      </c>
      <c r="C412" t="s">
        <v>198</v>
      </c>
      <c r="D412" t="s">
        <v>3</v>
      </c>
      <c r="E412" t="s">
        <v>12</v>
      </c>
      <c r="F412" s="2">
        <v>44539</v>
      </c>
      <c r="G412" s="3">
        <v>5</v>
      </c>
      <c r="H412" s="3">
        <v>5</v>
      </c>
      <c r="I412" s="3">
        <v>4</v>
      </c>
      <c r="J412" s="3">
        <v>4</v>
      </c>
      <c r="K412" s="3">
        <v>5</v>
      </c>
      <c r="L412" s="3">
        <v>5</v>
      </c>
      <c r="M412" s="3">
        <v>4</v>
      </c>
    </row>
    <row r="413" spans="1:13">
      <c r="A413" t="s">
        <v>238</v>
      </c>
      <c r="B413" t="s">
        <v>78</v>
      </c>
      <c r="C413" t="s">
        <v>569</v>
      </c>
      <c r="D413" t="s">
        <v>3</v>
      </c>
      <c r="E413" t="s">
        <v>155</v>
      </c>
      <c r="F413" s="2">
        <v>44594</v>
      </c>
      <c r="G413" s="3">
        <v>3</v>
      </c>
      <c r="H413" s="3">
        <v>4</v>
      </c>
      <c r="I413" s="3">
        <v>2</v>
      </c>
      <c r="J413" s="3">
        <v>4</v>
      </c>
      <c r="K413" s="3">
        <v>3</v>
      </c>
      <c r="L413" s="3">
        <v>5</v>
      </c>
      <c r="M413" s="3">
        <v>3</v>
      </c>
    </row>
    <row r="414" spans="1:13">
      <c r="A414" t="s">
        <v>28</v>
      </c>
      <c r="B414" t="s">
        <v>214</v>
      </c>
      <c r="C414" t="s">
        <v>566</v>
      </c>
      <c r="D414" t="s">
        <v>3</v>
      </c>
      <c r="E414" t="s">
        <v>619</v>
      </c>
      <c r="F414" s="2">
        <v>44655</v>
      </c>
      <c r="G414" s="3">
        <v>4</v>
      </c>
      <c r="H414" s="3">
        <v>3</v>
      </c>
      <c r="I414" s="3">
        <v>4</v>
      </c>
      <c r="J414" s="3">
        <v>3</v>
      </c>
      <c r="K414" s="3">
        <v>5</v>
      </c>
      <c r="L414" s="3">
        <v>3</v>
      </c>
      <c r="M414" s="3">
        <v>3</v>
      </c>
    </row>
    <row r="415" spans="1:13">
      <c r="A415" t="s">
        <v>596</v>
      </c>
      <c r="B415" t="s">
        <v>2</v>
      </c>
      <c r="C415" t="s">
        <v>198</v>
      </c>
      <c r="D415" t="s">
        <v>3</v>
      </c>
      <c r="E415" t="s">
        <v>239</v>
      </c>
      <c r="F415" s="2">
        <v>44744</v>
      </c>
      <c r="G415" s="3">
        <v>5</v>
      </c>
      <c r="H415" s="3">
        <v>5</v>
      </c>
      <c r="I415" s="3">
        <v>5</v>
      </c>
      <c r="J415" s="3">
        <v>5</v>
      </c>
      <c r="K415" s="3">
        <v>5</v>
      </c>
      <c r="L415" s="3">
        <v>5</v>
      </c>
      <c r="M415" s="3">
        <v>4</v>
      </c>
    </row>
    <row r="416" spans="1:13">
      <c r="A416" t="s">
        <v>13</v>
      </c>
      <c r="B416" t="s">
        <v>50</v>
      </c>
      <c r="C416" t="s">
        <v>50</v>
      </c>
      <c r="D416" t="s">
        <v>3</v>
      </c>
      <c r="E416" t="s">
        <v>240</v>
      </c>
      <c r="F416" s="2">
        <v>44653</v>
      </c>
      <c r="G416" s="3">
        <v>4</v>
      </c>
      <c r="H416" s="3">
        <v>4</v>
      </c>
      <c r="I416" s="3">
        <v>4</v>
      </c>
      <c r="J416" s="3">
        <v>4</v>
      </c>
      <c r="K416" s="3">
        <v>4</v>
      </c>
      <c r="L416" s="3">
        <v>4</v>
      </c>
      <c r="M416" s="3">
        <v>4</v>
      </c>
    </row>
    <row r="417" spans="1:13">
      <c r="A417" t="s">
        <v>1</v>
      </c>
      <c r="B417" t="s">
        <v>241</v>
      </c>
      <c r="C417" t="s">
        <v>582</v>
      </c>
      <c r="D417" t="s">
        <v>3</v>
      </c>
      <c r="E417" t="s">
        <v>26</v>
      </c>
      <c r="F417" s="2">
        <v>44654</v>
      </c>
      <c r="G417" s="3">
        <v>4</v>
      </c>
      <c r="H417" s="3">
        <v>5</v>
      </c>
      <c r="I417" s="3">
        <v>5</v>
      </c>
      <c r="J417" s="3">
        <v>4</v>
      </c>
      <c r="K417" s="3">
        <v>5</v>
      </c>
      <c r="L417" s="3">
        <v>5</v>
      </c>
      <c r="M417" s="3">
        <v>4</v>
      </c>
    </row>
    <row r="418" spans="1:13">
      <c r="A418" t="s">
        <v>1</v>
      </c>
      <c r="B418" t="s">
        <v>2</v>
      </c>
      <c r="C418" t="s">
        <v>198</v>
      </c>
      <c r="D418" t="s">
        <v>3</v>
      </c>
      <c r="E418" t="s">
        <v>242</v>
      </c>
      <c r="F418" s="2">
        <v>44409</v>
      </c>
      <c r="G418" s="3">
        <v>4</v>
      </c>
      <c r="H418" s="3">
        <v>4</v>
      </c>
      <c r="I418" s="3">
        <v>5</v>
      </c>
      <c r="J418" s="3">
        <v>5</v>
      </c>
      <c r="K418" s="3">
        <v>5</v>
      </c>
      <c r="L418" s="3">
        <v>5</v>
      </c>
      <c r="M418" s="3">
        <v>4</v>
      </c>
    </row>
    <row r="419" spans="1:13">
      <c r="A419" t="s">
        <v>232</v>
      </c>
      <c r="B419" t="s">
        <v>243</v>
      </c>
      <c r="C419" t="str" cm="1">
        <f t="array" ref="C419">_xlfn.IFS(B419="Neemrana","Rajasthan",B419="Tadepalligudem","Andhra Pradesh",B419="Kolkata","West Bengal",B419="Unknown","Unknown",B419="Andheri East,Chakala","Mumbai",B419="Ahmadnagar","Maharastra",B419="Sri City","Andhra Pradesh",B419="Gurgaon","Haryana",B419="Ahmedbad","Gujarat",B419="Jaipur","Rajasthan",B419="Chennai","Tamil Nadu")</f>
        <v>Haryana</v>
      </c>
      <c r="D419" t="s">
        <v>3</v>
      </c>
      <c r="E419" t="s">
        <v>558</v>
      </c>
      <c r="F419" s="2">
        <v>44721</v>
      </c>
      <c r="G419" s="3">
        <v>4</v>
      </c>
      <c r="H419" s="3">
        <v>4</v>
      </c>
      <c r="I419" s="3">
        <v>3</v>
      </c>
      <c r="J419" s="3">
        <v>3</v>
      </c>
      <c r="K419" s="3">
        <v>4</v>
      </c>
      <c r="L419" s="3">
        <v>2</v>
      </c>
      <c r="M419" s="3">
        <v>3</v>
      </c>
    </row>
    <row r="420" spans="1:13">
      <c r="A420" t="s">
        <v>107</v>
      </c>
      <c r="B420" t="s">
        <v>2</v>
      </c>
      <c r="C420" t="s">
        <v>198</v>
      </c>
      <c r="D420" t="s">
        <v>3</v>
      </c>
      <c r="E420" t="s">
        <v>26</v>
      </c>
      <c r="F420" s="2">
        <v>44683</v>
      </c>
      <c r="G420" s="3">
        <v>5</v>
      </c>
      <c r="H420" s="3">
        <v>5</v>
      </c>
      <c r="I420" s="3">
        <v>5</v>
      </c>
      <c r="J420" s="3">
        <v>5</v>
      </c>
      <c r="K420" s="3">
        <v>5</v>
      </c>
      <c r="L420" s="3">
        <v>5</v>
      </c>
      <c r="M420" s="3">
        <v>5</v>
      </c>
    </row>
    <row r="421" spans="1:13">
      <c r="A421" t="s">
        <v>244</v>
      </c>
      <c r="B421" t="s">
        <v>558</v>
      </c>
      <c r="C421" t="s">
        <v>558</v>
      </c>
      <c r="D421" t="s">
        <v>55</v>
      </c>
      <c r="E421" t="s">
        <v>558</v>
      </c>
      <c r="F421" s="2">
        <v>44811</v>
      </c>
      <c r="G421" s="3">
        <v>4</v>
      </c>
      <c r="H421" s="3">
        <v>4</v>
      </c>
      <c r="I421" s="3">
        <v>4</v>
      </c>
      <c r="J421" s="3">
        <v>4</v>
      </c>
      <c r="K421" s="3">
        <v>4</v>
      </c>
      <c r="L421" s="3">
        <v>4</v>
      </c>
      <c r="M421" s="3">
        <v>4</v>
      </c>
    </row>
    <row r="422" spans="1:13">
      <c r="A422" t="s">
        <v>558</v>
      </c>
      <c r="B422" t="s">
        <v>72</v>
      </c>
      <c r="C422" t="s">
        <v>578</v>
      </c>
      <c r="D422" t="s">
        <v>558</v>
      </c>
      <c r="E422" t="s">
        <v>558</v>
      </c>
      <c r="F422" s="2">
        <v>44687</v>
      </c>
      <c r="G422" s="3">
        <v>4</v>
      </c>
      <c r="H422" s="3">
        <v>3</v>
      </c>
      <c r="I422" s="3">
        <v>3</v>
      </c>
      <c r="J422" s="3">
        <v>4</v>
      </c>
      <c r="K422" s="3">
        <v>4</v>
      </c>
      <c r="L422" s="3">
        <v>3</v>
      </c>
      <c r="M422" s="3">
        <v>3</v>
      </c>
    </row>
    <row r="423" spans="1:13">
      <c r="A423" t="s">
        <v>613</v>
      </c>
      <c r="B423" t="s">
        <v>243</v>
      </c>
      <c r="C423" t="str" cm="1">
        <f t="array" ref="C423">_xlfn.IFS(B423="Neemrana","Rajasthan",B423="Tadepalligudem","Andhra Pradesh",B423="Kolkata","West Bengal",B423="Unknown","Unknown",B423="Andheri East,Chakala","Mumbai",B423="Ahmadnagar","Maharastra",B423="Sri City","Andhra Pradesh",B423="Gurgaon","Haryana",B423="Ahmedbad","Gujarat",B423="Jaipur","Rajasthan",B423="Chennai","Tamil Nadu")</f>
        <v>Haryana</v>
      </c>
      <c r="D423" t="s">
        <v>3</v>
      </c>
      <c r="E423" t="s">
        <v>4</v>
      </c>
      <c r="F423" s="2">
        <v>44682</v>
      </c>
      <c r="G423" s="3">
        <v>5</v>
      </c>
      <c r="H423" s="3">
        <v>5</v>
      </c>
      <c r="I423" s="3">
        <v>5</v>
      </c>
      <c r="J423" s="3">
        <v>5</v>
      </c>
      <c r="K423" s="3">
        <v>5</v>
      </c>
      <c r="L423" s="3">
        <v>5</v>
      </c>
      <c r="M423" s="3">
        <v>5</v>
      </c>
    </row>
    <row r="424" spans="1:13">
      <c r="A424" t="s">
        <v>245</v>
      </c>
      <c r="B424" t="s">
        <v>50</v>
      </c>
      <c r="C424" t="s">
        <v>50</v>
      </c>
      <c r="D424" t="s">
        <v>3</v>
      </c>
      <c r="E424" t="s">
        <v>558</v>
      </c>
      <c r="F424" s="2">
        <v>44714</v>
      </c>
      <c r="G424" s="3">
        <v>5</v>
      </c>
      <c r="H424" s="3">
        <v>4</v>
      </c>
      <c r="I424" s="3">
        <v>4</v>
      </c>
      <c r="J424" s="3">
        <v>5</v>
      </c>
      <c r="K424" s="3">
        <v>5</v>
      </c>
      <c r="L424" s="3">
        <v>5</v>
      </c>
      <c r="M424" s="3">
        <v>5</v>
      </c>
    </row>
    <row r="425" spans="1:13">
      <c r="A425" t="s">
        <v>7</v>
      </c>
      <c r="B425" t="s">
        <v>32</v>
      </c>
      <c r="C425" t="s">
        <v>567</v>
      </c>
      <c r="D425" t="s">
        <v>3</v>
      </c>
      <c r="E425" t="s">
        <v>201</v>
      </c>
      <c r="F425" s="2">
        <v>44318</v>
      </c>
      <c r="G425" s="3">
        <v>5</v>
      </c>
      <c r="H425" s="3">
        <v>5</v>
      </c>
      <c r="I425" s="3">
        <v>5</v>
      </c>
      <c r="J425" s="3">
        <v>5</v>
      </c>
      <c r="K425" s="3">
        <v>5</v>
      </c>
      <c r="L425" s="3">
        <v>5</v>
      </c>
      <c r="M425" s="3">
        <v>5</v>
      </c>
    </row>
    <row r="426" spans="1:13">
      <c r="A426" t="s">
        <v>35</v>
      </c>
      <c r="B426" t="s">
        <v>2</v>
      </c>
      <c r="C426" t="s">
        <v>198</v>
      </c>
      <c r="D426" t="s">
        <v>3</v>
      </c>
      <c r="E426" t="s">
        <v>12</v>
      </c>
      <c r="F426" s="2">
        <v>44655</v>
      </c>
      <c r="G426" s="3">
        <v>1</v>
      </c>
      <c r="H426" s="3">
        <v>1</v>
      </c>
      <c r="I426" s="3">
        <v>1</v>
      </c>
      <c r="J426" s="3">
        <v>2</v>
      </c>
      <c r="K426" s="3">
        <v>3</v>
      </c>
      <c r="L426" s="3">
        <v>2</v>
      </c>
      <c r="M426" s="3">
        <v>1</v>
      </c>
    </row>
    <row r="427" spans="1:13">
      <c r="A427" t="s">
        <v>1</v>
      </c>
      <c r="B427" t="s">
        <v>243</v>
      </c>
      <c r="C427" t="str" cm="1">
        <f t="array" ref="C427">_xlfn.IFS(B427="Neemrana","Rajasthan",B427="Tadepalligudem","Andhra Pradesh",B427="Kolkata","West Bengal",B427="Unknown","Unknown",B427="Andheri East,Chakala","Mumbai",B427="Ahmadnagar","Maharastra",B427="Sri City","Andhra Pradesh",B427="Gurgaon","Haryana",B427="Ahmedbad","Gujarat",B427="Jaipur","Rajasthan",B427="Chennai","Tamil Nadu")</f>
        <v>Haryana</v>
      </c>
      <c r="D427" t="s">
        <v>3</v>
      </c>
      <c r="E427" t="s">
        <v>23</v>
      </c>
      <c r="F427" s="2">
        <v>44621</v>
      </c>
      <c r="G427" s="3">
        <v>4</v>
      </c>
      <c r="H427" s="3">
        <v>3</v>
      </c>
      <c r="I427" s="3">
        <v>2</v>
      </c>
      <c r="J427" s="3">
        <v>3</v>
      </c>
      <c r="K427" s="3">
        <v>5</v>
      </c>
      <c r="L427" s="3">
        <v>5</v>
      </c>
      <c r="M427" s="3">
        <v>2</v>
      </c>
    </row>
    <row r="428" spans="1:13">
      <c r="A428" t="s">
        <v>246</v>
      </c>
      <c r="B428" t="s">
        <v>2</v>
      </c>
      <c r="C428" t="s">
        <v>516</v>
      </c>
      <c r="D428" t="s">
        <v>3</v>
      </c>
      <c r="E428" t="s">
        <v>26</v>
      </c>
      <c r="F428" s="2">
        <v>44440</v>
      </c>
      <c r="G428" s="3">
        <v>4</v>
      </c>
      <c r="H428" s="3">
        <v>3</v>
      </c>
      <c r="I428" s="3">
        <v>3</v>
      </c>
      <c r="J428" s="3">
        <v>3</v>
      </c>
      <c r="K428" s="3">
        <v>5</v>
      </c>
      <c r="L428" s="3">
        <v>4</v>
      </c>
      <c r="M428" s="3">
        <v>4</v>
      </c>
    </row>
    <row r="429" spans="1:13">
      <c r="A429" t="s">
        <v>1</v>
      </c>
      <c r="B429" t="s">
        <v>2</v>
      </c>
      <c r="C429" t="s">
        <v>516</v>
      </c>
      <c r="D429" t="s">
        <v>3</v>
      </c>
      <c r="E429" t="s">
        <v>26</v>
      </c>
      <c r="F429" s="2">
        <v>44534</v>
      </c>
      <c r="G429" s="3">
        <v>5</v>
      </c>
      <c r="H429" s="3">
        <v>5</v>
      </c>
      <c r="I429" s="3">
        <v>5</v>
      </c>
      <c r="J429" s="3">
        <v>4</v>
      </c>
      <c r="K429" s="3">
        <v>5</v>
      </c>
      <c r="L429" s="3">
        <v>5</v>
      </c>
      <c r="M429" s="3">
        <v>5</v>
      </c>
    </row>
    <row r="430" spans="1:13">
      <c r="A430" t="s">
        <v>7</v>
      </c>
      <c r="B430" t="s">
        <v>72</v>
      </c>
      <c r="C430" t="s">
        <v>578</v>
      </c>
      <c r="D430" t="s">
        <v>3</v>
      </c>
      <c r="E430" t="s">
        <v>619</v>
      </c>
      <c r="F430" s="2">
        <v>44502</v>
      </c>
      <c r="G430" s="3">
        <v>5</v>
      </c>
      <c r="H430" s="3">
        <v>4</v>
      </c>
      <c r="I430" s="3">
        <v>5</v>
      </c>
      <c r="J430" s="3">
        <v>4</v>
      </c>
      <c r="K430" s="3">
        <v>5</v>
      </c>
      <c r="L430" s="3">
        <v>5</v>
      </c>
      <c r="M430" s="3">
        <v>5</v>
      </c>
    </row>
    <row r="431" spans="1:13">
      <c r="A431" t="s">
        <v>7</v>
      </c>
      <c r="B431" t="s">
        <v>32</v>
      </c>
      <c r="C431" t="s">
        <v>567</v>
      </c>
      <c r="D431" t="s">
        <v>3</v>
      </c>
      <c r="E431" t="s">
        <v>201</v>
      </c>
      <c r="F431" s="2">
        <v>44567</v>
      </c>
      <c r="G431" s="3">
        <v>2</v>
      </c>
      <c r="H431" s="3">
        <v>1</v>
      </c>
      <c r="I431" s="3">
        <v>1</v>
      </c>
      <c r="J431" s="3">
        <v>3</v>
      </c>
      <c r="K431" s="3">
        <v>1</v>
      </c>
      <c r="L431" s="3">
        <v>1</v>
      </c>
      <c r="M431" s="3">
        <v>1</v>
      </c>
    </row>
    <row r="432" spans="1:13">
      <c r="A432" t="s">
        <v>1</v>
      </c>
      <c r="B432" t="s">
        <v>243</v>
      </c>
      <c r="C432" t="str" cm="1">
        <f t="array" ref="C432">_xlfn.IFS(B432="Neemrana","Rajasthan",B432="Tadepalligudem","Andhra Pradesh",B432="Kolkata","West Bengal",B432="Unknown","Unknown",B432="Andheri East,Chakala","Mumbai",B432="Ahmadnagar","Maharastra",B432="Sri City","Andhra Pradesh",B432="Gurgaon","Haryana",B432="Ahmedbad","Gujarat",B432="Jaipur","Rajasthan",B432="Chennai","Tamil Nadu")</f>
        <v>Haryana</v>
      </c>
      <c r="D432" t="s">
        <v>3</v>
      </c>
      <c r="E432" t="s">
        <v>12</v>
      </c>
      <c r="F432" s="2">
        <v>44623</v>
      </c>
      <c r="G432" s="3">
        <v>4</v>
      </c>
      <c r="H432" s="3">
        <v>5</v>
      </c>
      <c r="I432" s="3">
        <v>5</v>
      </c>
      <c r="J432" s="3">
        <v>4</v>
      </c>
      <c r="K432" s="3">
        <v>5</v>
      </c>
      <c r="L432" s="3">
        <v>5</v>
      </c>
      <c r="M432" s="3">
        <v>3</v>
      </c>
    </row>
    <row r="433" spans="1:13">
      <c r="A433" t="s">
        <v>1</v>
      </c>
      <c r="B433" t="s">
        <v>2</v>
      </c>
      <c r="C433" t="s">
        <v>198</v>
      </c>
      <c r="D433" t="s">
        <v>3</v>
      </c>
      <c r="E433" t="s">
        <v>12</v>
      </c>
      <c r="F433" s="2">
        <v>44568</v>
      </c>
      <c r="G433" s="3">
        <v>5</v>
      </c>
      <c r="H433" s="3">
        <v>5</v>
      </c>
      <c r="I433" s="3">
        <v>5</v>
      </c>
      <c r="J433" s="3">
        <v>5</v>
      </c>
      <c r="K433" s="3">
        <v>5</v>
      </c>
      <c r="L433" s="3">
        <v>5</v>
      </c>
      <c r="M433" s="3">
        <v>4</v>
      </c>
    </row>
    <row r="434" spans="1:13">
      <c r="A434" t="s">
        <v>13</v>
      </c>
      <c r="B434" t="s">
        <v>243</v>
      </c>
      <c r="C434" t="str" cm="1">
        <f t="array" ref="C434">_xlfn.IFS(B434="Neemrana","Rajasthan",B434="Tadepalligudem","Andhra Pradesh",B434="Kolkata","West Bengal",B434="Unknown","Unknown",B434="Andheri East,Chakala","Mumbai",B434="Ahmadnagar","Maharastra",B434="Sri City","Andhra Pradesh",B434="Gurgaon","Haryana",B434="Ahmedbad","Gujarat",B434="Jaipur","Rajasthan",B434="Chennai","Tamil Nadu")</f>
        <v>Haryana</v>
      </c>
      <c r="D434" t="s">
        <v>3</v>
      </c>
      <c r="E434" t="s">
        <v>15</v>
      </c>
      <c r="F434" s="2">
        <v>44475</v>
      </c>
      <c r="G434" s="3">
        <v>3</v>
      </c>
      <c r="H434" s="3">
        <v>3</v>
      </c>
      <c r="I434" s="3">
        <v>4</v>
      </c>
      <c r="J434" s="3">
        <v>3</v>
      </c>
      <c r="K434" s="3">
        <v>4</v>
      </c>
      <c r="L434" s="3">
        <v>3</v>
      </c>
      <c r="M434" s="3">
        <v>2</v>
      </c>
    </row>
    <row r="435" spans="1:13">
      <c r="A435" t="s">
        <v>13</v>
      </c>
      <c r="B435" t="s">
        <v>32</v>
      </c>
      <c r="C435" t="s">
        <v>567</v>
      </c>
      <c r="D435" t="s">
        <v>3</v>
      </c>
      <c r="E435" t="s">
        <v>25</v>
      </c>
      <c r="F435" s="2">
        <v>45139</v>
      </c>
      <c r="G435" s="3">
        <v>2</v>
      </c>
      <c r="H435" s="3">
        <v>2</v>
      </c>
      <c r="I435" s="3">
        <v>1</v>
      </c>
      <c r="J435" s="3">
        <v>4</v>
      </c>
      <c r="K435" s="3">
        <v>1</v>
      </c>
      <c r="L435" s="3">
        <v>1</v>
      </c>
      <c r="M435" s="3">
        <v>2</v>
      </c>
    </row>
    <row r="436" spans="1:13">
      <c r="A436" t="s">
        <v>608</v>
      </c>
      <c r="B436" t="s">
        <v>531</v>
      </c>
      <c r="C436" t="s">
        <v>572</v>
      </c>
      <c r="D436" t="s">
        <v>3</v>
      </c>
      <c r="E436" t="s">
        <v>201</v>
      </c>
      <c r="F436" s="2">
        <v>44531</v>
      </c>
      <c r="G436" s="3">
        <v>5</v>
      </c>
      <c r="H436" s="3">
        <v>4</v>
      </c>
      <c r="I436" s="3">
        <v>5</v>
      </c>
      <c r="J436" s="3">
        <v>4</v>
      </c>
      <c r="K436" s="3">
        <v>4</v>
      </c>
      <c r="L436" s="3">
        <v>5</v>
      </c>
      <c r="M436" s="3">
        <v>5</v>
      </c>
    </row>
    <row r="437" spans="1:13">
      <c r="A437" t="s">
        <v>94</v>
      </c>
      <c r="B437" t="s">
        <v>82</v>
      </c>
      <c r="C437" t="s">
        <v>566</v>
      </c>
      <c r="D437" t="s">
        <v>3</v>
      </c>
      <c r="E437" t="s">
        <v>247</v>
      </c>
      <c r="F437" s="2">
        <v>44687</v>
      </c>
      <c r="G437" s="3">
        <v>5</v>
      </c>
      <c r="H437" s="3">
        <v>5</v>
      </c>
      <c r="I437" s="3">
        <v>5</v>
      </c>
      <c r="J437" s="3">
        <v>5</v>
      </c>
      <c r="K437" s="3">
        <v>5</v>
      </c>
      <c r="L437" s="3">
        <v>5</v>
      </c>
      <c r="M437" s="3">
        <v>5</v>
      </c>
    </row>
    <row r="438" spans="1:13">
      <c r="A438" t="s">
        <v>1</v>
      </c>
      <c r="B438" t="s">
        <v>243</v>
      </c>
      <c r="C438" t="s">
        <v>574</v>
      </c>
      <c r="D438" t="s">
        <v>3</v>
      </c>
      <c r="E438" t="s">
        <v>12</v>
      </c>
      <c r="F438" s="2">
        <v>44505</v>
      </c>
      <c r="G438" s="3">
        <v>5</v>
      </c>
      <c r="H438" s="3">
        <v>4</v>
      </c>
      <c r="I438" s="3">
        <v>2</v>
      </c>
      <c r="J438" s="3">
        <v>3</v>
      </c>
      <c r="K438" s="3">
        <v>5</v>
      </c>
      <c r="L438" s="3">
        <v>5</v>
      </c>
      <c r="M438" s="3">
        <v>3</v>
      </c>
    </row>
    <row r="439" spans="1:13">
      <c r="A439" t="s">
        <v>248</v>
      </c>
      <c r="B439" t="s">
        <v>32</v>
      </c>
      <c r="C439" t="s">
        <v>567</v>
      </c>
      <c r="D439" t="s">
        <v>3</v>
      </c>
      <c r="E439" t="s">
        <v>627</v>
      </c>
      <c r="F439" s="2">
        <v>44840</v>
      </c>
      <c r="G439" s="3">
        <v>4</v>
      </c>
      <c r="H439" s="3">
        <v>4</v>
      </c>
      <c r="I439" s="3">
        <v>5</v>
      </c>
      <c r="J439" s="3">
        <v>3</v>
      </c>
      <c r="K439" s="3">
        <v>4</v>
      </c>
      <c r="L439" s="3">
        <v>4</v>
      </c>
      <c r="M439" s="3">
        <v>3</v>
      </c>
    </row>
    <row r="440" spans="1:13">
      <c r="A440" t="s">
        <v>249</v>
      </c>
      <c r="B440" t="s">
        <v>2</v>
      </c>
      <c r="C440" t="s">
        <v>198</v>
      </c>
      <c r="D440" t="s">
        <v>3</v>
      </c>
      <c r="E440" t="s">
        <v>26</v>
      </c>
      <c r="F440" s="2">
        <v>44562</v>
      </c>
      <c r="G440" s="3">
        <v>3</v>
      </c>
      <c r="H440" s="3">
        <v>4</v>
      </c>
      <c r="I440" s="3">
        <v>2</v>
      </c>
      <c r="J440" s="3">
        <v>3</v>
      </c>
      <c r="K440" s="3">
        <v>5</v>
      </c>
      <c r="L440" s="3">
        <v>3</v>
      </c>
      <c r="M440" s="3">
        <v>3</v>
      </c>
    </row>
    <row r="441" spans="1:13">
      <c r="A441" t="s">
        <v>250</v>
      </c>
      <c r="B441" t="s">
        <v>2</v>
      </c>
      <c r="C441" t="s">
        <v>198</v>
      </c>
      <c r="D441" t="s">
        <v>3</v>
      </c>
      <c r="E441" t="s">
        <v>141</v>
      </c>
      <c r="F441" s="2">
        <v>44598</v>
      </c>
      <c r="G441" s="3">
        <v>5</v>
      </c>
      <c r="H441" s="3">
        <v>5</v>
      </c>
      <c r="I441" s="3">
        <v>5</v>
      </c>
      <c r="J441" s="3">
        <v>5</v>
      </c>
      <c r="K441" s="3">
        <v>5</v>
      </c>
      <c r="L441" s="3">
        <v>5</v>
      </c>
      <c r="M441" s="3">
        <v>5</v>
      </c>
    </row>
    <row r="442" spans="1:13">
      <c r="A442" t="s">
        <v>251</v>
      </c>
      <c r="B442" t="s">
        <v>2</v>
      </c>
      <c r="C442" t="s">
        <v>198</v>
      </c>
      <c r="D442" t="s">
        <v>3</v>
      </c>
      <c r="E442" t="s">
        <v>26</v>
      </c>
      <c r="F442" s="2">
        <v>44687</v>
      </c>
      <c r="G442" s="3">
        <v>5</v>
      </c>
      <c r="H442" s="3">
        <v>5</v>
      </c>
      <c r="I442" s="3">
        <v>5</v>
      </c>
      <c r="J442" s="3">
        <v>5</v>
      </c>
      <c r="K442" s="3">
        <v>5</v>
      </c>
      <c r="L442" s="3">
        <v>5</v>
      </c>
      <c r="M442" s="3">
        <v>5</v>
      </c>
    </row>
    <row r="443" spans="1:13">
      <c r="A443" t="s">
        <v>667</v>
      </c>
      <c r="B443" t="s">
        <v>8</v>
      </c>
      <c r="C443" t="s">
        <v>570</v>
      </c>
      <c r="D443" t="s">
        <v>3</v>
      </c>
      <c r="E443" t="s">
        <v>638</v>
      </c>
      <c r="F443" s="2">
        <v>44501</v>
      </c>
      <c r="G443" s="3">
        <v>4</v>
      </c>
      <c r="H443" s="3">
        <v>3</v>
      </c>
      <c r="I443" s="3">
        <v>3</v>
      </c>
      <c r="J443" s="3">
        <v>3</v>
      </c>
      <c r="K443" s="3">
        <v>4</v>
      </c>
      <c r="L443" s="3">
        <v>3</v>
      </c>
      <c r="M443" s="3">
        <v>3</v>
      </c>
    </row>
    <row r="444" spans="1:13">
      <c r="A444" t="s">
        <v>1</v>
      </c>
      <c r="B444" t="s">
        <v>243</v>
      </c>
      <c r="C444" t="str" cm="1">
        <f t="array" ref="C444">_xlfn.IFS(B444="Neemrana","Rajasthan",B444="Tadepalligudem","Andhra Pradesh",B444="Kolkata","West Bengal",B444="Unknown","Unknown",B444="Andheri East,Chakala","Mumbai",B444="Ahmadnagar","Maharastra",B444="Sri City","Andhra Pradesh",B444="Gurgaon","Haryana",B444="Ahmedbad","Gujarat",B444="Jaipur","Rajasthan",B444="Chennai","Tamil Nadu")</f>
        <v>Haryana</v>
      </c>
      <c r="D444" t="s">
        <v>3</v>
      </c>
      <c r="E444" t="s">
        <v>139</v>
      </c>
      <c r="F444" s="2">
        <v>44538</v>
      </c>
      <c r="G444" s="3">
        <v>4</v>
      </c>
      <c r="H444" s="3">
        <v>4</v>
      </c>
      <c r="I444" s="3">
        <v>5</v>
      </c>
      <c r="J444" s="3">
        <v>5</v>
      </c>
      <c r="K444" s="3">
        <v>5</v>
      </c>
      <c r="L444" s="3">
        <v>5</v>
      </c>
      <c r="M444" s="3">
        <v>4</v>
      </c>
    </row>
    <row r="445" spans="1:13">
      <c r="A445" t="s">
        <v>1</v>
      </c>
      <c r="B445" t="s">
        <v>2</v>
      </c>
      <c r="C445" t="s">
        <v>198</v>
      </c>
      <c r="D445" t="s">
        <v>3</v>
      </c>
      <c r="E445" t="s">
        <v>23</v>
      </c>
      <c r="F445" s="2">
        <v>44653</v>
      </c>
      <c r="G445" s="3">
        <v>4</v>
      </c>
      <c r="H445" s="3">
        <v>3</v>
      </c>
      <c r="I445" s="3">
        <v>4</v>
      </c>
      <c r="J445" s="3">
        <v>2</v>
      </c>
      <c r="K445" s="3">
        <v>5</v>
      </c>
      <c r="L445" s="3">
        <v>4</v>
      </c>
      <c r="M445" s="3">
        <v>3</v>
      </c>
    </row>
    <row r="446" spans="1:13">
      <c r="A446" t="s">
        <v>166</v>
      </c>
      <c r="B446" t="s">
        <v>243</v>
      </c>
      <c r="C446" t="str" cm="1">
        <f t="array" ref="C446">_xlfn.IFS(B446="Neemrana","Rajasthan",B446="Tadepalligudem","Andhra Pradesh",B446="Kolkata","West Bengal",B446="Unknown","Unknown",B446="Andheri East,Chakala","Mumbai",B446="Ahmadnagar","Maharastra",B446="Sri City","Andhra Pradesh",B446="Gurgaon","Haryana",B446="Ahmedbad","Gujarat",B446="Jaipur","Rajasthan",B446="Chennai","Tamil Nadu")</f>
        <v>Haryana</v>
      </c>
      <c r="D446" t="s">
        <v>3</v>
      </c>
      <c r="E446" t="s">
        <v>12</v>
      </c>
      <c r="F446" s="2">
        <v>44567</v>
      </c>
      <c r="G446" s="3">
        <v>5</v>
      </c>
      <c r="H446" s="3">
        <v>5</v>
      </c>
      <c r="I446" s="3">
        <v>5</v>
      </c>
      <c r="J446" s="3">
        <v>5</v>
      </c>
      <c r="K446" s="3">
        <v>5</v>
      </c>
      <c r="L446" s="3">
        <v>5</v>
      </c>
      <c r="M446" s="3">
        <v>5</v>
      </c>
    </row>
    <row r="447" spans="1:13">
      <c r="A447" t="s">
        <v>208</v>
      </c>
      <c r="B447" t="s">
        <v>50</v>
      </c>
      <c r="C447" t="s">
        <v>50</v>
      </c>
      <c r="D447" t="s">
        <v>3</v>
      </c>
      <c r="E447" t="s">
        <v>252</v>
      </c>
      <c r="F447" s="2">
        <v>44805</v>
      </c>
      <c r="G447" s="3">
        <v>5</v>
      </c>
      <c r="H447" s="3">
        <v>5</v>
      </c>
      <c r="I447" s="3">
        <v>5</v>
      </c>
      <c r="J447" s="3">
        <v>5</v>
      </c>
      <c r="K447" s="3">
        <v>5</v>
      </c>
      <c r="L447" s="3">
        <v>5</v>
      </c>
      <c r="M447" s="3">
        <v>5</v>
      </c>
    </row>
    <row r="448" spans="1:13">
      <c r="A448" t="s">
        <v>28</v>
      </c>
      <c r="B448" t="s">
        <v>118</v>
      </c>
      <c r="C448" t="s">
        <v>579</v>
      </c>
      <c r="D448" t="s">
        <v>3</v>
      </c>
      <c r="E448" t="s">
        <v>253</v>
      </c>
      <c r="F448" s="2">
        <v>44621</v>
      </c>
      <c r="G448" s="3">
        <v>5</v>
      </c>
      <c r="H448" s="3">
        <v>5</v>
      </c>
      <c r="I448" s="3">
        <v>5</v>
      </c>
      <c r="J448" s="3">
        <v>5</v>
      </c>
      <c r="K448" s="3">
        <v>5</v>
      </c>
      <c r="L448" s="3">
        <v>5</v>
      </c>
      <c r="M448" s="3">
        <v>5</v>
      </c>
    </row>
    <row r="449" spans="1:13">
      <c r="A449" t="s">
        <v>1</v>
      </c>
      <c r="B449" t="s">
        <v>2</v>
      </c>
      <c r="C449" t="s">
        <v>198</v>
      </c>
      <c r="D449" t="s">
        <v>3</v>
      </c>
      <c r="E449" t="s">
        <v>23</v>
      </c>
      <c r="F449" s="2">
        <v>44629</v>
      </c>
      <c r="G449" s="3">
        <v>5</v>
      </c>
      <c r="H449" s="3">
        <v>5</v>
      </c>
      <c r="I449" s="3">
        <v>5</v>
      </c>
      <c r="J449" s="3">
        <v>5</v>
      </c>
      <c r="K449" s="3">
        <v>5</v>
      </c>
      <c r="L449" s="3">
        <v>5</v>
      </c>
      <c r="M449" s="3">
        <v>5</v>
      </c>
    </row>
    <row r="450" spans="1:13">
      <c r="A450" t="s">
        <v>1</v>
      </c>
      <c r="B450" t="s">
        <v>2</v>
      </c>
      <c r="C450" t="s">
        <v>198</v>
      </c>
      <c r="D450" t="s">
        <v>3</v>
      </c>
      <c r="E450" t="s">
        <v>4</v>
      </c>
      <c r="F450" s="2">
        <v>44503</v>
      </c>
      <c r="G450" s="3">
        <v>5</v>
      </c>
      <c r="H450" s="3">
        <v>4</v>
      </c>
      <c r="I450" s="3">
        <v>4</v>
      </c>
      <c r="J450" s="3">
        <v>5</v>
      </c>
      <c r="K450" s="3">
        <v>5</v>
      </c>
      <c r="L450" s="3">
        <v>5</v>
      </c>
      <c r="M450" s="3">
        <v>5</v>
      </c>
    </row>
    <row r="451" spans="1:13">
      <c r="A451" t="s">
        <v>245</v>
      </c>
      <c r="B451" t="s">
        <v>558</v>
      </c>
      <c r="C451" t="s">
        <v>558</v>
      </c>
      <c r="D451" t="s">
        <v>3</v>
      </c>
      <c r="E451" t="s">
        <v>558</v>
      </c>
      <c r="F451" s="2">
        <v>44653</v>
      </c>
      <c r="G451" s="3">
        <v>1</v>
      </c>
      <c r="H451" s="3">
        <v>2</v>
      </c>
      <c r="I451" s="3">
        <v>1</v>
      </c>
      <c r="J451" s="3">
        <v>1</v>
      </c>
      <c r="K451" s="3">
        <v>1</v>
      </c>
      <c r="L451" s="3">
        <v>1</v>
      </c>
      <c r="M451" s="3">
        <v>1</v>
      </c>
    </row>
    <row r="452" spans="1:13">
      <c r="A452" t="s">
        <v>134</v>
      </c>
      <c r="B452" t="s">
        <v>2</v>
      </c>
      <c r="C452" t="s">
        <v>198</v>
      </c>
      <c r="D452" t="s">
        <v>55</v>
      </c>
      <c r="E452" t="s">
        <v>4</v>
      </c>
      <c r="F452" s="2">
        <v>44653</v>
      </c>
      <c r="G452" s="3">
        <v>5</v>
      </c>
      <c r="H452" s="3">
        <v>4</v>
      </c>
      <c r="I452" s="3">
        <v>5</v>
      </c>
      <c r="J452" s="3">
        <v>4</v>
      </c>
      <c r="K452" s="3">
        <v>5</v>
      </c>
      <c r="L452" s="3">
        <v>5</v>
      </c>
      <c r="M452" s="3">
        <v>5</v>
      </c>
    </row>
    <row r="453" spans="1:13">
      <c r="A453" t="s">
        <v>30</v>
      </c>
      <c r="B453" t="s">
        <v>2</v>
      </c>
      <c r="C453" t="s">
        <v>198</v>
      </c>
      <c r="D453" t="s">
        <v>3</v>
      </c>
      <c r="E453" t="s">
        <v>23</v>
      </c>
      <c r="F453" s="2">
        <v>44686</v>
      </c>
      <c r="G453" s="3">
        <v>4</v>
      </c>
      <c r="H453" s="3">
        <v>3</v>
      </c>
      <c r="I453" s="3">
        <v>4</v>
      </c>
      <c r="J453" s="3">
        <v>4</v>
      </c>
      <c r="K453" s="3">
        <v>3</v>
      </c>
      <c r="L453" s="3">
        <v>4</v>
      </c>
      <c r="M453" s="3">
        <v>4</v>
      </c>
    </row>
    <row r="454" spans="1:13">
      <c r="A454" t="s">
        <v>254</v>
      </c>
      <c r="B454" t="s">
        <v>255</v>
      </c>
      <c r="C454" t="s">
        <v>50</v>
      </c>
      <c r="D454" t="s">
        <v>3</v>
      </c>
      <c r="E454" t="s">
        <v>558</v>
      </c>
      <c r="F454" s="2">
        <v>44568</v>
      </c>
      <c r="G454" s="3">
        <v>5</v>
      </c>
      <c r="H454" s="3">
        <v>5</v>
      </c>
      <c r="I454" s="3">
        <v>3</v>
      </c>
      <c r="J454" s="3">
        <v>5</v>
      </c>
      <c r="K454" s="3">
        <v>5</v>
      </c>
      <c r="L454" s="3">
        <v>5</v>
      </c>
      <c r="M454" s="3">
        <v>5</v>
      </c>
    </row>
    <row r="455" spans="1:13">
      <c r="A455" t="s">
        <v>256</v>
      </c>
      <c r="B455" t="s">
        <v>286</v>
      </c>
      <c r="C455" t="s">
        <v>198</v>
      </c>
      <c r="D455" t="s">
        <v>3</v>
      </c>
      <c r="E455" t="s">
        <v>122</v>
      </c>
      <c r="F455" s="2">
        <v>44567</v>
      </c>
      <c r="G455" s="3">
        <v>4</v>
      </c>
      <c r="H455" s="3">
        <v>5</v>
      </c>
      <c r="I455" s="3">
        <v>3</v>
      </c>
      <c r="J455" s="3">
        <v>3</v>
      </c>
      <c r="K455" s="3">
        <v>5</v>
      </c>
      <c r="L455" s="3">
        <v>4</v>
      </c>
      <c r="M455" s="3">
        <v>3</v>
      </c>
    </row>
    <row r="456" spans="1:13">
      <c r="A456" t="s">
        <v>35</v>
      </c>
      <c r="B456" t="s">
        <v>193</v>
      </c>
      <c r="C456" t="s">
        <v>572</v>
      </c>
      <c r="D456" t="s">
        <v>3</v>
      </c>
      <c r="E456" t="s">
        <v>638</v>
      </c>
      <c r="F456" s="2">
        <v>44538</v>
      </c>
      <c r="G456" s="3">
        <v>4</v>
      </c>
      <c r="H456" s="3">
        <v>4</v>
      </c>
      <c r="I456" s="3">
        <v>4</v>
      </c>
      <c r="J456" s="3">
        <v>4</v>
      </c>
      <c r="K456" s="3">
        <v>5</v>
      </c>
      <c r="L456" s="3">
        <v>4</v>
      </c>
      <c r="M456" s="3">
        <v>5</v>
      </c>
    </row>
    <row r="457" spans="1:13">
      <c r="A457" t="s">
        <v>257</v>
      </c>
      <c r="B457" t="s">
        <v>258</v>
      </c>
      <c r="C457" t="s">
        <v>198</v>
      </c>
      <c r="D457" t="s">
        <v>3</v>
      </c>
      <c r="E457" t="s">
        <v>558</v>
      </c>
      <c r="F457" s="2">
        <v>44717</v>
      </c>
      <c r="G457" s="3">
        <v>5</v>
      </c>
      <c r="H457" s="3">
        <v>4</v>
      </c>
      <c r="I457" s="3">
        <v>5</v>
      </c>
      <c r="J457" s="3">
        <v>5</v>
      </c>
      <c r="K457" s="3">
        <v>4</v>
      </c>
      <c r="L457" s="3">
        <v>5</v>
      </c>
      <c r="M457" s="3">
        <v>4</v>
      </c>
    </row>
    <row r="458" spans="1:13">
      <c r="A458" t="s">
        <v>558</v>
      </c>
      <c r="B458" t="s">
        <v>50</v>
      </c>
      <c r="C458" t="s">
        <v>50</v>
      </c>
      <c r="D458" t="s">
        <v>558</v>
      </c>
      <c r="E458" t="s">
        <v>259</v>
      </c>
      <c r="F458" s="2">
        <v>44562</v>
      </c>
      <c r="G458" s="3">
        <v>5</v>
      </c>
      <c r="H458" s="3">
        <v>5</v>
      </c>
      <c r="I458" s="3">
        <v>5</v>
      </c>
      <c r="J458" s="3">
        <v>5</v>
      </c>
      <c r="K458" s="3">
        <v>5</v>
      </c>
      <c r="L458" s="3">
        <v>5</v>
      </c>
      <c r="M458" s="3">
        <v>5</v>
      </c>
    </row>
    <row r="459" spans="1:13">
      <c r="A459" t="s">
        <v>30</v>
      </c>
      <c r="B459" t="s">
        <v>2</v>
      </c>
      <c r="C459" t="s">
        <v>198</v>
      </c>
      <c r="D459" t="s">
        <v>74</v>
      </c>
      <c r="E459" t="s">
        <v>260</v>
      </c>
      <c r="F459" s="2">
        <v>44562</v>
      </c>
      <c r="G459" s="3">
        <v>2</v>
      </c>
      <c r="H459" s="3">
        <v>1</v>
      </c>
      <c r="I459" s="3">
        <v>1</v>
      </c>
      <c r="J459" s="3">
        <v>1</v>
      </c>
      <c r="K459" s="3">
        <v>5</v>
      </c>
      <c r="L459" s="3">
        <v>1</v>
      </c>
      <c r="M459" s="3">
        <v>1</v>
      </c>
    </row>
    <row r="460" spans="1:13">
      <c r="A460" t="s">
        <v>126</v>
      </c>
      <c r="B460" t="s">
        <v>50</v>
      </c>
      <c r="C460" t="s">
        <v>50</v>
      </c>
      <c r="D460" t="s">
        <v>3</v>
      </c>
      <c r="E460" t="s">
        <v>261</v>
      </c>
      <c r="F460" s="2">
        <v>44261</v>
      </c>
      <c r="G460" s="3">
        <v>1</v>
      </c>
      <c r="H460" s="3">
        <v>1</v>
      </c>
      <c r="I460" s="3">
        <v>1</v>
      </c>
      <c r="J460" s="3">
        <v>1</v>
      </c>
      <c r="K460" s="3">
        <v>1</v>
      </c>
      <c r="L460" s="3">
        <v>1</v>
      </c>
      <c r="M460" s="3">
        <v>1</v>
      </c>
    </row>
    <row r="461" spans="1:13">
      <c r="A461" t="s">
        <v>602</v>
      </c>
      <c r="B461" t="s">
        <v>583</v>
      </c>
      <c r="C461" t="s">
        <v>584</v>
      </c>
      <c r="D461" t="s">
        <v>3</v>
      </c>
      <c r="E461" t="s">
        <v>558</v>
      </c>
      <c r="F461" s="2">
        <v>44566</v>
      </c>
      <c r="G461" s="3">
        <v>5</v>
      </c>
      <c r="H461" s="3">
        <v>4</v>
      </c>
      <c r="I461" s="3">
        <v>3</v>
      </c>
      <c r="J461" s="3">
        <v>3</v>
      </c>
      <c r="K461" s="3">
        <v>3</v>
      </c>
      <c r="L461" s="3">
        <v>4</v>
      </c>
      <c r="M461" s="3">
        <v>5</v>
      </c>
    </row>
    <row r="462" spans="1:13">
      <c r="A462" t="s">
        <v>546</v>
      </c>
      <c r="B462" t="s">
        <v>2</v>
      </c>
      <c r="C462" t="s">
        <v>198</v>
      </c>
      <c r="D462" t="s">
        <v>3</v>
      </c>
      <c r="E462" t="s">
        <v>43</v>
      </c>
      <c r="F462" s="2">
        <v>45022</v>
      </c>
      <c r="G462" s="3">
        <v>5</v>
      </c>
      <c r="H462" s="3">
        <v>5</v>
      </c>
      <c r="I462" s="3">
        <v>5</v>
      </c>
      <c r="J462" s="3">
        <v>4</v>
      </c>
      <c r="K462" s="3">
        <v>5</v>
      </c>
      <c r="L462" s="3">
        <v>5</v>
      </c>
      <c r="M462" s="3">
        <v>4</v>
      </c>
    </row>
    <row r="463" spans="1:13">
      <c r="A463" t="s">
        <v>554</v>
      </c>
      <c r="B463" t="s">
        <v>243</v>
      </c>
      <c r="C463" t="s">
        <v>574</v>
      </c>
      <c r="D463" t="s">
        <v>3</v>
      </c>
      <c r="E463" t="s">
        <v>184</v>
      </c>
      <c r="F463" s="2">
        <v>44319</v>
      </c>
      <c r="G463" s="3">
        <v>4</v>
      </c>
      <c r="H463" s="3">
        <v>4</v>
      </c>
      <c r="I463" s="3">
        <v>5</v>
      </c>
      <c r="J463" s="3">
        <v>4</v>
      </c>
      <c r="K463" s="3">
        <v>5</v>
      </c>
      <c r="L463" s="3">
        <v>4</v>
      </c>
      <c r="M463" s="3">
        <v>4</v>
      </c>
    </row>
    <row r="464" spans="1:13">
      <c r="A464" t="s">
        <v>96</v>
      </c>
      <c r="B464" t="s">
        <v>2</v>
      </c>
      <c r="C464" t="s">
        <v>198</v>
      </c>
      <c r="D464" t="s">
        <v>3</v>
      </c>
      <c r="E464" t="s">
        <v>262</v>
      </c>
      <c r="F464" s="2">
        <v>44623</v>
      </c>
      <c r="G464" s="3">
        <v>5</v>
      </c>
      <c r="H464" s="3">
        <v>5</v>
      </c>
      <c r="I464" s="3">
        <v>5</v>
      </c>
      <c r="J464" s="3">
        <v>5</v>
      </c>
      <c r="K464" s="3">
        <v>5</v>
      </c>
      <c r="L464" s="3">
        <v>5</v>
      </c>
      <c r="M464" s="3">
        <v>3</v>
      </c>
    </row>
    <row r="465" spans="1:13">
      <c r="A465" t="s">
        <v>535</v>
      </c>
      <c r="B465" t="s">
        <v>241</v>
      </c>
      <c r="C465" t="s">
        <v>582</v>
      </c>
      <c r="D465" t="s">
        <v>3</v>
      </c>
      <c r="E465" t="s">
        <v>263</v>
      </c>
      <c r="F465" s="2">
        <v>44622</v>
      </c>
      <c r="G465" s="3">
        <v>4</v>
      </c>
      <c r="H465" s="3">
        <v>4</v>
      </c>
      <c r="I465" s="3">
        <v>4</v>
      </c>
      <c r="J465" s="3">
        <v>4</v>
      </c>
      <c r="K465" s="3">
        <v>4</v>
      </c>
      <c r="L465" s="3">
        <v>4</v>
      </c>
      <c r="M465" s="3">
        <v>4</v>
      </c>
    </row>
    <row r="466" spans="1:13">
      <c r="A466" t="s">
        <v>668</v>
      </c>
      <c r="B466" t="s">
        <v>82</v>
      </c>
      <c r="C466" t="s">
        <v>566</v>
      </c>
      <c r="D466" t="s">
        <v>3</v>
      </c>
      <c r="E466" t="s">
        <v>14</v>
      </c>
      <c r="F466" s="2">
        <v>44599</v>
      </c>
      <c r="G466" s="3">
        <v>4</v>
      </c>
      <c r="H466" s="3">
        <v>2</v>
      </c>
      <c r="I466" s="3">
        <v>4</v>
      </c>
      <c r="J466" s="3">
        <v>3</v>
      </c>
      <c r="K466" s="3">
        <v>4</v>
      </c>
      <c r="L466" s="3">
        <v>4</v>
      </c>
      <c r="M466" s="3">
        <v>4</v>
      </c>
    </row>
    <row r="467" spans="1:13">
      <c r="A467" t="s">
        <v>16</v>
      </c>
      <c r="B467" t="s">
        <v>2</v>
      </c>
      <c r="C467" t="s">
        <v>198</v>
      </c>
      <c r="D467" t="s">
        <v>3</v>
      </c>
      <c r="E467" t="s">
        <v>558</v>
      </c>
      <c r="F467" s="2">
        <v>44533</v>
      </c>
      <c r="G467" s="3">
        <v>4</v>
      </c>
      <c r="H467" s="3">
        <v>5</v>
      </c>
      <c r="I467" s="3">
        <v>5</v>
      </c>
      <c r="J467" s="3">
        <v>3</v>
      </c>
      <c r="K467" s="3">
        <v>5</v>
      </c>
      <c r="L467" s="3">
        <v>4</v>
      </c>
      <c r="M467" s="3">
        <v>3</v>
      </c>
    </row>
    <row r="468" spans="1:13">
      <c r="A468" t="s">
        <v>614</v>
      </c>
      <c r="B468" t="s">
        <v>78</v>
      </c>
      <c r="C468" t="s">
        <v>569</v>
      </c>
      <c r="D468" t="s">
        <v>3</v>
      </c>
      <c r="E468" t="s">
        <v>148</v>
      </c>
      <c r="F468" s="2">
        <v>44568</v>
      </c>
      <c r="G468" s="3">
        <v>3</v>
      </c>
      <c r="H468" s="3">
        <v>3</v>
      </c>
      <c r="I468" s="3">
        <v>2</v>
      </c>
      <c r="J468" s="3">
        <v>3</v>
      </c>
      <c r="K468" s="3">
        <v>1</v>
      </c>
      <c r="L468" s="3">
        <v>2</v>
      </c>
      <c r="M468" s="3">
        <v>1</v>
      </c>
    </row>
    <row r="469" spans="1:13">
      <c r="A469" t="s">
        <v>105</v>
      </c>
      <c r="B469" t="s">
        <v>2</v>
      </c>
      <c r="C469" t="s">
        <v>198</v>
      </c>
      <c r="D469" t="s">
        <v>3</v>
      </c>
      <c r="E469" t="s">
        <v>12</v>
      </c>
      <c r="F469" s="2">
        <v>44477</v>
      </c>
      <c r="G469" s="3">
        <v>4</v>
      </c>
      <c r="H469" s="3">
        <v>4</v>
      </c>
      <c r="I469" s="3">
        <v>4</v>
      </c>
      <c r="J469" s="3">
        <v>4</v>
      </c>
      <c r="K469" s="3">
        <v>5</v>
      </c>
      <c r="L469" s="3">
        <v>5</v>
      </c>
      <c r="M469" s="3">
        <v>5</v>
      </c>
    </row>
    <row r="470" spans="1:13">
      <c r="A470" t="s">
        <v>264</v>
      </c>
      <c r="B470" t="s">
        <v>78</v>
      </c>
      <c r="C470" t="s">
        <v>569</v>
      </c>
      <c r="D470" t="s">
        <v>3</v>
      </c>
      <c r="E470" t="s">
        <v>558</v>
      </c>
      <c r="F470" s="2">
        <v>44501</v>
      </c>
      <c r="G470" s="3">
        <v>5</v>
      </c>
      <c r="H470" s="3">
        <v>5</v>
      </c>
      <c r="I470" s="3">
        <v>5</v>
      </c>
      <c r="J470" s="3">
        <v>5</v>
      </c>
      <c r="K470" s="3">
        <v>5</v>
      </c>
      <c r="L470" s="3">
        <v>5</v>
      </c>
      <c r="M470" s="3">
        <v>5</v>
      </c>
    </row>
    <row r="471" spans="1:13">
      <c r="A471" t="s">
        <v>541</v>
      </c>
      <c r="B471" t="s">
        <v>82</v>
      </c>
      <c r="C471" t="s">
        <v>566</v>
      </c>
      <c r="D471" t="s">
        <v>3</v>
      </c>
      <c r="E471" t="s">
        <v>201</v>
      </c>
      <c r="F471" s="2">
        <v>44325</v>
      </c>
      <c r="G471" s="3">
        <v>5</v>
      </c>
      <c r="H471" s="3">
        <v>4</v>
      </c>
      <c r="I471" s="3">
        <v>4</v>
      </c>
      <c r="J471" s="3">
        <v>2</v>
      </c>
      <c r="K471" s="3">
        <v>4</v>
      </c>
      <c r="L471" s="3">
        <v>4</v>
      </c>
      <c r="M471" s="3">
        <v>4</v>
      </c>
    </row>
    <row r="472" spans="1:13">
      <c r="A472" t="s">
        <v>265</v>
      </c>
      <c r="B472" t="s">
        <v>72</v>
      </c>
      <c r="C472" t="s">
        <v>578</v>
      </c>
      <c r="D472" t="s">
        <v>3</v>
      </c>
      <c r="E472" t="s">
        <v>128</v>
      </c>
      <c r="F472" s="2">
        <v>44533</v>
      </c>
      <c r="G472" s="3">
        <v>5</v>
      </c>
      <c r="H472" s="3">
        <v>5</v>
      </c>
      <c r="I472" s="3">
        <v>5</v>
      </c>
      <c r="J472" s="3">
        <v>5</v>
      </c>
      <c r="K472" s="3">
        <v>5</v>
      </c>
      <c r="L472" s="3">
        <v>5</v>
      </c>
      <c r="M472" s="3">
        <v>5</v>
      </c>
    </row>
    <row r="473" spans="1:13">
      <c r="A473" t="s">
        <v>266</v>
      </c>
      <c r="B473" t="s">
        <v>2</v>
      </c>
      <c r="C473" t="s">
        <v>198</v>
      </c>
      <c r="D473" t="s">
        <v>3</v>
      </c>
      <c r="E473" t="s">
        <v>558</v>
      </c>
      <c r="F473" s="2">
        <v>44600</v>
      </c>
      <c r="G473" s="3">
        <v>5</v>
      </c>
      <c r="H473" s="3">
        <v>5</v>
      </c>
      <c r="I473" s="3">
        <v>5</v>
      </c>
      <c r="J473" s="3">
        <v>5</v>
      </c>
      <c r="K473" s="3">
        <v>5</v>
      </c>
      <c r="L473" s="3">
        <v>5</v>
      </c>
      <c r="M473" s="3">
        <v>5</v>
      </c>
    </row>
    <row r="474" spans="1:13">
      <c r="A474" t="s">
        <v>267</v>
      </c>
      <c r="B474" t="s">
        <v>268</v>
      </c>
      <c r="C474" t="s">
        <v>268</v>
      </c>
      <c r="D474" t="s">
        <v>55</v>
      </c>
      <c r="E474" t="s">
        <v>558</v>
      </c>
      <c r="F474" s="2">
        <v>44835</v>
      </c>
      <c r="G474" s="3">
        <v>4</v>
      </c>
      <c r="H474" s="3">
        <v>3</v>
      </c>
      <c r="I474" s="3">
        <v>5</v>
      </c>
      <c r="J474" s="3">
        <v>3</v>
      </c>
      <c r="K474" s="3">
        <v>4</v>
      </c>
      <c r="L474" s="3">
        <v>5</v>
      </c>
      <c r="M474" s="3">
        <v>3</v>
      </c>
    </row>
    <row r="475" spans="1:13">
      <c r="A475" t="s">
        <v>269</v>
      </c>
      <c r="B475" t="s">
        <v>39</v>
      </c>
      <c r="C475" t="s">
        <v>358</v>
      </c>
      <c r="D475" t="s">
        <v>3</v>
      </c>
      <c r="E475" t="s">
        <v>15</v>
      </c>
      <c r="F475" s="2">
        <v>44623</v>
      </c>
      <c r="G475" s="3">
        <v>5</v>
      </c>
      <c r="H475" s="3">
        <v>4</v>
      </c>
      <c r="I475" s="3">
        <v>5</v>
      </c>
      <c r="J475" s="3">
        <v>5</v>
      </c>
      <c r="K475" s="3">
        <v>5</v>
      </c>
      <c r="L475" s="3">
        <v>5</v>
      </c>
      <c r="M475" s="3">
        <v>5</v>
      </c>
    </row>
    <row r="476" spans="1:13">
      <c r="A476" t="s">
        <v>231</v>
      </c>
      <c r="B476" t="s">
        <v>195</v>
      </c>
      <c r="C476" t="s">
        <v>569</v>
      </c>
      <c r="D476" t="s">
        <v>55</v>
      </c>
      <c r="E476" t="s">
        <v>66</v>
      </c>
      <c r="F476" s="2">
        <v>44690</v>
      </c>
      <c r="G476" s="3">
        <v>4</v>
      </c>
      <c r="H476" s="3">
        <v>4</v>
      </c>
      <c r="I476" s="3">
        <v>4</v>
      </c>
      <c r="J476" s="3">
        <v>4</v>
      </c>
      <c r="K476" s="3">
        <v>4</v>
      </c>
      <c r="L476" s="3">
        <v>4</v>
      </c>
      <c r="M476" s="3">
        <v>4</v>
      </c>
    </row>
    <row r="477" spans="1:13">
      <c r="A477" t="s">
        <v>270</v>
      </c>
      <c r="B477" t="s">
        <v>559</v>
      </c>
      <c r="C477" t="s">
        <v>78</v>
      </c>
      <c r="D477" t="s">
        <v>3</v>
      </c>
      <c r="E477" t="s">
        <v>558</v>
      </c>
      <c r="F477" s="2">
        <v>44593</v>
      </c>
      <c r="G477" s="3">
        <v>5</v>
      </c>
      <c r="H477" s="3">
        <v>5</v>
      </c>
      <c r="I477" s="3">
        <v>5</v>
      </c>
      <c r="J477" s="3">
        <v>5</v>
      </c>
      <c r="K477" s="3">
        <v>5</v>
      </c>
      <c r="L477" s="3">
        <v>5</v>
      </c>
      <c r="M477" s="3">
        <v>4</v>
      </c>
    </row>
    <row r="478" spans="1:13">
      <c r="A478" t="s">
        <v>30</v>
      </c>
      <c r="B478" t="s">
        <v>2</v>
      </c>
      <c r="C478" t="s">
        <v>198</v>
      </c>
      <c r="D478" t="s">
        <v>3</v>
      </c>
      <c r="E478" t="s">
        <v>199</v>
      </c>
      <c r="F478" s="2">
        <v>44413</v>
      </c>
      <c r="G478" s="3">
        <v>4</v>
      </c>
      <c r="H478" s="3">
        <v>5</v>
      </c>
      <c r="I478" s="3">
        <v>3</v>
      </c>
      <c r="J478" s="3">
        <v>3</v>
      </c>
      <c r="K478" s="3">
        <v>5</v>
      </c>
      <c r="L478" s="3">
        <v>5</v>
      </c>
      <c r="M478" s="3">
        <v>2</v>
      </c>
    </row>
    <row r="479" spans="1:13">
      <c r="A479" t="s">
        <v>271</v>
      </c>
      <c r="B479" t="s">
        <v>2</v>
      </c>
      <c r="C479" t="s">
        <v>198</v>
      </c>
      <c r="D479" t="s">
        <v>3</v>
      </c>
      <c r="E479" t="s">
        <v>61</v>
      </c>
      <c r="F479" s="2">
        <v>44292</v>
      </c>
      <c r="G479" s="3">
        <v>4</v>
      </c>
      <c r="H479" s="3">
        <v>4</v>
      </c>
      <c r="I479" s="3">
        <v>4</v>
      </c>
      <c r="J479" s="3">
        <v>5</v>
      </c>
      <c r="K479" s="3">
        <v>5</v>
      </c>
      <c r="L479" s="3">
        <v>3</v>
      </c>
      <c r="M479" s="3">
        <v>4</v>
      </c>
    </row>
    <row r="480" spans="1:13">
      <c r="A480" t="s">
        <v>107</v>
      </c>
      <c r="B480" t="s">
        <v>243</v>
      </c>
      <c r="C480" t="str" cm="1">
        <f t="array" ref="C480">_xlfn.IFS(B480="Neemrana","Rajasthan",B480="Tadepalligudem","Andhra Pradesh",B480="Kolkata","West Bengal",B480="Unknown","Unknown",B480="Andheri East,Chakala","Mumbai",B480="Ahmadnagar","Maharastra",B480="Sri City","Andhra Pradesh",B480="Gurgaon","Haryana",B480="Ahmedbad","Gujarat",B480="Jaipur","Rajasthan",B480="Chennai","Tamil Nadu")</f>
        <v>Haryana</v>
      </c>
      <c r="D480" t="s">
        <v>3</v>
      </c>
      <c r="E480" t="s">
        <v>26</v>
      </c>
      <c r="F480" s="2">
        <v>44504</v>
      </c>
      <c r="G480" s="3">
        <v>5</v>
      </c>
      <c r="H480" s="3">
        <v>4</v>
      </c>
      <c r="I480" s="3">
        <v>5</v>
      </c>
      <c r="J480" s="3">
        <v>4</v>
      </c>
      <c r="K480" s="3">
        <v>5</v>
      </c>
      <c r="L480" s="3">
        <v>5</v>
      </c>
      <c r="M480" s="3">
        <v>5</v>
      </c>
    </row>
    <row r="481" spans="1:13">
      <c r="A481" t="s">
        <v>30</v>
      </c>
      <c r="B481" t="s">
        <v>2</v>
      </c>
      <c r="C481" t="s">
        <v>198</v>
      </c>
      <c r="D481" t="s">
        <v>3</v>
      </c>
      <c r="E481" t="s">
        <v>26</v>
      </c>
      <c r="F481" s="2">
        <v>44504</v>
      </c>
      <c r="G481" s="3">
        <v>4</v>
      </c>
      <c r="H481" s="3">
        <v>4</v>
      </c>
      <c r="I481" s="3">
        <v>4</v>
      </c>
      <c r="J481" s="3">
        <v>4</v>
      </c>
      <c r="K481" s="3">
        <v>5</v>
      </c>
      <c r="L481" s="3">
        <v>4</v>
      </c>
      <c r="M481" s="3">
        <v>4</v>
      </c>
    </row>
    <row r="482" spans="1:13">
      <c r="A482" t="s">
        <v>35</v>
      </c>
      <c r="B482" t="s">
        <v>243</v>
      </c>
      <c r="C482" t="str" cm="1">
        <f t="array" ref="C482">_xlfn.IFS(B482="Neemrana","Rajasthan",B482="Tadepalligudem","Andhra Pradesh",B482="Kolkata","West Bengal",B482="Unknown","Unknown",B482="Andheri East,Chakala","Mumbai",B482="Ahmadnagar","Maharastra",B482="Sri City","Andhra Pradesh",B482="Gurgaon","Haryana",B482="Ahmedbad","Gujarat",B482="Jaipur","Rajasthan",B482="Chennai","Tamil Nadu")</f>
        <v>Haryana</v>
      </c>
      <c r="D482" t="s">
        <v>3</v>
      </c>
      <c r="E482" t="s">
        <v>12</v>
      </c>
      <c r="F482" s="2">
        <v>44287</v>
      </c>
      <c r="G482" s="3">
        <v>5</v>
      </c>
      <c r="H482" s="3">
        <v>4</v>
      </c>
      <c r="I482" s="3">
        <v>4</v>
      </c>
      <c r="J482" s="3">
        <v>4</v>
      </c>
      <c r="K482" s="3">
        <v>5</v>
      </c>
      <c r="L482" s="3">
        <v>5</v>
      </c>
      <c r="M482" s="3">
        <v>4</v>
      </c>
    </row>
    <row r="483" spans="1:13">
      <c r="A483" t="s">
        <v>77</v>
      </c>
      <c r="B483" t="s">
        <v>243</v>
      </c>
      <c r="C483" t="str" cm="1">
        <f t="array" ref="C483">_xlfn.IFS(B483="Neemrana","Rajasthan",B483="Tadepalligudem","Andhra Pradesh",B483="Kolkata","West Bengal",B483="Unknown","Unknown",B483="Andheri East,Chakala","Mumbai",B483="Ahmadnagar","Maharastra",B483="Sri City","Andhra Pradesh",B483="Gurgaon","Haryana",B483="Ahmedbad","Gujarat",B483="Jaipur","Rajasthan",B483="Chennai","Tamil Nadu")</f>
        <v>Haryana</v>
      </c>
      <c r="D483" t="s">
        <v>55</v>
      </c>
      <c r="E483" t="s">
        <v>272</v>
      </c>
      <c r="F483" s="2">
        <v>44317</v>
      </c>
      <c r="G483" s="3">
        <v>4</v>
      </c>
      <c r="H483" s="3">
        <v>4</v>
      </c>
      <c r="I483" s="3">
        <v>3</v>
      </c>
      <c r="J483" s="3">
        <v>4</v>
      </c>
      <c r="K483" s="3">
        <v>5</v>
      </c>
      <c r="L483" s="3">
        <v>4</v>
      </c>
      <c r="M483" s="3">
        <v>3</v>
      </c>
    </row>
    <row r="484" spans="1:13">
      <c r="A484" t="s">
        <v>40</v>
      </c>
      <c r="B484" t="s">
        <v>193</v>
      </c>
      <c r="C484" t="s">
        <v>572</v>
      </c>
      <c r="D484" t="s">
        <v>3</v>
      </c>
      <c r="E484" t="s">
        <v>558</v>
      </c>
      <c r="F484" s="2">
        <v>44841</v>
      </c>
      <c r="G484" s="3">
        <v>3</v>
      </c>
      <c r="H484" s="3">
        <v>2</v>
      </c>
      <c r="I484" s="3">
        <v>4</v>
      </c>
      <c r="J484" s="3">
        <v>2</v>
      </c>
      <c r="K484" s="3">
        <v>3</v>
      </c>
      <c r="L484" s="3">
        <v>2</v>
      </c>
      <c r="M484" s="3">
        <v>1</v>
      </c>
    </row>
    <row r="485" spans="1:13">
      <c r="A485" t="s">
        <v>535</v>
      </c>
      <c r="B485" t="s">
        <v>193</v>
      </c>
      <c r="C485" t="s">
        <v>572</v>
      </c>
      <c r="D485" t="s">
        <v>3</v>
      </c>
      <c r="E485" t="s">
        <v>536</v>
      </c>
      <c r="F485" s="2">
        <v>44596</v>
      </c>
      <c r="G485" s="3">
        <v>5</v>
      </c>
      <c r="H485" s="3">
        <v>5</v>
      </c>
      <c r="I485" s="3">
        <v>5</v>
      </c>
      <c r="J485" s="3">
        <v>5</v>
      </c>
      <c r="K485" s="3">
        <v>5</v>
      </c>
      <c r="L485" s="3">
        <v>5</v>
      </c>
      <c r="M485" s="3">
        <v>5</v>
      </c>
    </row>
    <row r="486" spans="1:13">
      <c r="A486" t="s">
        <v>1</v>
      </c>
      <c r="B486" t="s">
        <v>2</v>
      </c>
      <c r="C486" t="s">
        <v>198</v>
      </c>
      <c r="D486" t="s">
        <v>3</v>
      </c>
      <c r="E486" t="s">
        <v>4</v>
      </c>
      <c r="F486" s="2">
        <v>44317</v>
      </c>
      <c r="G486" s="3">
        <v>4</v>
      </c>
      <c r="H486" s="3">
        <v>5</v>
      </c>
      <c r="I486" s="3">
        <v>4</v>
      </c>
      <c r="J486" s="3">
        <v>3</v>
      </c>
      <c r="K486" s="3">
        <v>5</v>
      </c>
      <c r="L486" s="3">
        <v>4</v>
      </c>
      <c r="M486" s="3">
        <v>3</v>
      </c>
    </row>
    <row r="487" spans="1:13">
      <c r="A487" t="s">
        <v>324</v>
      </c>
      <c r="B487" t="s">
        <v>214</v>
      </c>
      <c r="C487" t="s">
        <v>566</v>
      </c>
      <c r="D487" t="s">
        <v>3</v>
      </c>
      <c r="E487" t="s">
        <v>373</v>
      </c>
      <c r="F487" s="2">
        <v>44531</v>
      </c>
      <c r="G487" s="3">
        <v>5</v>
      </c>
      <c r="H487" s="3">
        <v>5</v>
      </c>
      <c r="I487" s="3">
        <v>5</v>
      </c>
      <c r="J487" s="3">
        <v>5</v>
      </c>
      <c r="K487" s="3">
        <v>5</v>
      </c>
      <c r="L487" s="3">
        <v>5</v>
      </c>
      <c r="M487" s="3">
        <v>5</v>
      </c>
    </row>
    <row r="488" spans="1:13">
      <c r="A488" t="s">
        <v>77</v>
      </c>
      <c r="B488" t="s">
        <v>2</v>
      </c>
      <c r="C488" t="s">
        <v>198</v>
      </c>
      <c r="D488" t="s">
        <v>3</v>
      </c>
      <c r="E488" t="s">
        <v>12</v>
      </c>
      <c r="F488" s="2">
        <v>44473</v>
      </c>
      <c r="G488" s="3">
        <v>5</v>
      </c>
      <c r="H488" s="3">
        <v>4</v>
      </c>
      <c r="I488" s="3">
        <v>5</v>
      </c>
      <c r="J488" s="3">
        <v>4</v>
      </c>
      <c r="K488" s="3">
        <v>5</v>
      </c>
      <c r="L488" s="3">
        <v>5</v>
      </c>
      <c r="M488" s="3">
        <v>4</v>
      </c>
    </row>
    <row r="489" spans="1:13">
      <c r="A489" t="s">
        <v>1</v>
      </c>
      <c r="B489" t="s">
        <v>2</v>
      </c>
      <c r="C489" t="s">
        <v>198</v>
      </c>
      <c r="D489" t="s">
        <v>3</v>
      </c>
      <c r="E489" t="s">
        <v>4</v>
      </c>
      <c r="F489" s="2">
        <v>44898</v>
      </c>
      <c r="G489" s="3">
        <v>5</v>
      </c>
      <c r="H489" s="3">
        <v>5</v>
      </c>
      <c r="I489" s="3">
        <v>5</v>
      </c>
      <c r="J489" s="3">
        <v>5</v>
      </c>
      <c r="K489" s="3">
        <v>5</v>
      </c>
      <c r="L489" s="3">
        <v>5</v>
      </c>
      <c r="M489" s="3">
        <v>5</v>
      </c>
    </row>
    <row r="490" spans="1:13">
      <c r="A490" t="s">
        <v>535</v>
      </c>
      <c r="B490" t="s">
        <v>558</v>
      </c>
      <c r="C490" t="s">
        <v>558</v>
      </c>
      <c r="D490" t="s">
        <v>3</v>
      </c>
      <c r="E490" t="s">
        <v>373</v>
      </c>
      <c r="F490" s="2">
        <v>44356</v>
      </c>
      <c r="G490" s="3">
        <v>3</v>
      </c>
      <c r="H490" s="3">
        <v>3</v>
      </c>
      <c r="I490" s="3">
        <v>3</v>
      </c>
      <c r="J490" s="3">
        <v>3</v>
      </c>
      <c r="K490" s="3">
        <v>4</v>
      </c>
      <c r="L490" s="3">
        <v>4</v>
      </c>
      <c r="M490" s="3">
        <v>4</v>
      </c>
    </row>
    <row r="491" spans="1:13">
      <c r="A491" t="s">
        <v>273</v>
      </c>
      <c r="B491" t="s">
        <v>564</v>
      </c>
      <c r="C491" t="s">
        <v>50</v>
      </c>
      <c r="D491" t="s">
        <v>3</v>
      </c>
      <c r="E491" t="s">
        <v>274</v>
      </c>
      <c r="F491" s="2">
        <v>44567</v>
      </c>
      <c r="G491" s="3">
        <v>5</v>
      </c>
      <c r="H491" s="3">
        <v>5</v>
      </c>
      <c r="I491" s="3">
        <v>3</v>
      </c>
      <c r="J491" s="3">
        <v>5</v>
      </c>
      <c r="K491" s="3">
        <v>5</v>
      </c>
      <c r="L491" s="3">
        <v>3</v>
      </c>
      <c r="M491" s="3">
        <v>5</v>
      </c>
    </row>
    <row r="492" spans="1:13">
      <c r="A492" t="s">
        <v>1</v>
      </c>
      <c r="B492" t="s">
        <v>286</v>
      </c>
      <c r="C492" t="s">
        <v>198</v>
      </c>
      <c r="D492" t="s">
        <v>3</v>
      </c>
      <c r="E492" t="s">
        <v>23</v>
      </c>
      <c r="F492" s="2">
        <v>44627</v>
      </c>
      <c r="G492" s="3">
        <v>5</v>
      </c>
      <c r="H492" s="3">
        <v>4</v>
      </c>
      <c r="I492" s="3">
        <v>4</v>
      </c>
      <c r="J492" s="3">
        <v>3</v>
      </c>
      <c r="K492" s="3">
        <v>4</v>
      </c>
      <c r="L492" s="3">
        <v>4</v>
      </c>
      <c r="M492" s="3">
        <v>4</v>
      </c>
    </row>
    <row r="493" spans="1:13">
      <c r="A493" t="s">
        <v>77</v>
      </c>
      <c r="B493" t="s">
        <v>2</v>
      </c>
      <c r="C493" t="s">
        <v>198</v>
      </c>
      <c r="D493" t="s">
        <v>3</v>
      </c>
      <c r="E493" t="s">
        <v>12</v>
      </c>
      <c r="F493" s="2">
        <v>44287</v>
      </c>
      <c r="G493" s="3">
        <v>5</v>
      </c>
      <c r="H493" s="3">
        <v>4</v>
      </c>
      <c r="I493" s="3">
        <v>4</v>
      </c>
      <c r="J493" s="3">
        <v>4</v>
      </c>
      <c r="K493" s="3">
        <v>5</v>
      </c>
      <c r="L493" s="3">
        <v>5</v>
      </c>
      <c r="M493" s="3">
        <v>4</v>
      </c>
    </row>
    <row r="494" spans="1:13">
      <c r="A494" t="s">
        <v>275</v>
      </c>
      <c r="B494" t="s">
        <v>2</v>
      </c>
      <c r="C494" t="s">
        <v>198</v>
      </c>
      <c r="D494" t="s">
        <v>3</v>
      </c>
      <c r="E494" t="s">
        <v>4</v>
      </c>
      <c r="F494" s="2">
        <v>44624</v>
      </c>
      <c r="G494" s="3">
        <v>5</v>
      </c>
      <c r="H494" s="3">
        <v>5</v>
      </c>
      <c r="I494" s="3">
        <v>5</v>
      </c>
      <c r="J494" s="3">
        <v>5</v>
      </c>
      <c r="K494" s="3">
        <v>5</v>
      </c>
      <c r="L494" s="3">
        <v>5</v>
      </c>
      <c r="M494" s="3">
        <v>5</v>
      </c>
    </row>
    <row r="495" spans="1:13">
      <c r="A495" t="s">
        <v>57</v>
      </c>
      <c r="B495" t="s">
        <v>276</v>
      </c>
      <c r="C495" t="s">
        <v>579</v>
      </c>
      <c r="D495" t="s">
        <v>3</v>
      </c>
      <c r="E495" t="s">
        <v>542</v>
      </c>
      <c r="F495" s="2">
        <v>44655</v>
      </c>
      <c r="G495" s="3">
        <v>5</v>
      </c>
      <c r="H495" s="3">
        <v>5</v>
      </c>
      <c r="I495" s="3">
        <v>4</v>
      </c>
      <c r="J495" s="3">
        <v>5</v>
      </c>
      <c r="K495" s="3">
        <v>5</v>
      </c>
      <c r="L495" s="3">
        <v>5</v>
      </c>
      <c r="M495" s="3">
        <v>5</v>
      </c>
    </row>
    <row r="496" spans="1:13">
      <c r="A496" t="s">
        <v>277</v>
      </c>
      <c r="B496" t="s">
        <v>2</v>
      </c>
      <c r="C496" t="s">
        <v>198</v>
      </c>
      <c r="D496" t="s">
        <v>3</v>
      </c>
      <c r="E496" t="s">
        <v>26</v>
      </c>
      <c r="F496" s="2">
        <v>44535</v>
      </c>
      <c r="G496" s="3">
        <v>5</v>
      </c>
      <c r="H496" s="3">
        <v>5</v>
      </c>
      <c r="I496" s="3">
        <v>3</v>
      </c>
      <c r="J496" s="3">
        <v>4</v>
      </c>
      <c r="K496" s="3">
        <v>5</v>
      </c>
      <c r="L496" s="3">
        <v>5</v>
      </c>
      <c r="M496" s="3">
        <v>4</v>
      </c>
    </row>
    <row r="497" spans="1:13">
      <c r="A497" t="s">
        <v>597</v>
      </c>
      <c r="B497" t="s">
        <v>2</v>
      </c>
      <c r="C497" t="s">
        <v>198</v>
      </c>
      <c r="D497" t="s">
        <v>3</v>
      </c>
      <c r="E497" t="s">
        <v>23</v>
      </c>
      <c r="F497" s="2">
        <v>43647</v>
      </c>
      <c r="G497" s="3">
        <v>4</v>
      </c>
      <c r="H497" s="3">
        <v>3</v>
      </c>
      <c r="I497" s="3">
        <v>4</v>
      </c>
      <c r="J497" s="3">
        <v>4</v>
      </c>
      <c r="K497" s="3">
        <v>1</v>
      </c>
      <c r="L497" s="3">
        <v>4</v>
      </c>
      <c r="M497" s="3">
        <v>1</v>
      </c>
    </row>
    <row r="498" spans="1:13">
      <c r="A498" t="s">
        <v>28</v>
      </c>
      <c r="B498" t="s">
        <v>2</v>
      </c>
      <c r="C498" t="s">
        <v>198</v>
      </c>
      <c r="D498" t="s">
        <v>3</v>
      </c>
      <c r="E498" t="s">
        <v>558</v>
      </c>
      <c r="F498" s="2">
        <v>44621</v>
      </c>
      <c r="G498" s="3">
        <v>4</v>
      </c>
      <c r="H498" s="3">
        <v>4</v>
      </c>
      <c r="I498" s="3">
        <v>4</v>
      </c>
      <c r="J498" s="3">
        <v>5</v>
      </c>
      <c r="K498" s="3">
        <v>4</v>
      </c>
      <c r="L498" s="3">
        <v>4</v>
      </c>
      <c r="M498" s="3">
        <v>4</v>
      </c>
    </row>
    <row r="499" spans="1:13">
      <c r="A499" t="s">
        <v>1</v>
      </c>
      <c r="B499" t="s">
        <v>2</v>
      </c>
      <c r="C499" t="s">
        <v>198</v>
      </c>
      <c r="D499" t="s">
        <v>3</v>
      </c>
      <c r="E499" t="s">
        <v>23</v>
      </c>
      <c r="F499" s="2">
        <v>44348</v>
      </c>
      <c r="G499" s="3">
        <v>5</v>
      </c>
      <c r="H499" s="3">
        <v>5</v>
      </c>
      <c r="I499" s="3">
        <v>5</v>
      </c>
      <c r="J499" s="3">
        <v>5</v>
      </c>
      <c r="K499" s="3">
        <v>5</v>
      </c>
      <c r="L499" s="3">
        <v>5</v>
      </c>
      <c r="M499" s="3">
        <v>5</v>
      </c>
    </row>
    <row r="500" spans="1:13">
      <c r="A500" t="s">
        <v>64</v>
      </c>
      <c r="B500" t="s">
        <v>2</v>
      </c>
      <c r="C500" t="s">
        <v>198</v>
      </c>
      <c r="D500" t="s">
        <v>3</v>
      </c>
      <c r="E500" t="s">
        <v>52</v>
      </c>
      <c r="F500" s="2">
        <v>44264</v>
      </c>
      <c r="G500" s="3">
        <v>2</v>
      </c>
      <c r="H500" s="3">
        <v>4</v>
      </c>
      <c r="I500" s="3">
        <v>1</v>
      </c>
      <c r="J500" s="3">
        <v>1</v>
      </c>
      <c r="K500" s="3">
        <v>4</v>
      </c>
      <c r="L500" s="3">
        <v>1</v>
      </c>
      <c r="M500" s="3">
        <v>2</v>
      </c>
    </row>
    <row r="501" spans="1:13">
      <c r="A501" t="s">
        <v>227</v>
      </c>
      <c r="B501" t="s">
        <v>383</v>
      </c>
      <c r="C501" t="s">
        <v>582</v>
      </c>
      <c r="D501" t="s">
        <v>3</v>
      </c>
      <c r="E501" t="s">
        <v>23</v>
      </c>
      <c r="F501" s="2">
        <v>44660</v>
      </c>
      <c r="G501" s="3">
        <v>2</v>
      </c>
      <c r="H501" s="3">
        <v>1</v>
      </c>
      <c r="I501" s="3">
        <v>2</v>
      </c>
      <c r="J501" s="3">
        <v>2</v>
      </c>
      <c r="K501" s="3">
        <v>1</v>
      </c>
      <c r="L501" s="3">
        <v>2</v>
      </c>
      <c r="M501" s="3">
        <v>2</v>
      </c>
    </row>
    <row r="502" spans="1:13">
      <c r="A502" t="s">
        <v>1</v>
      </c>
      <c r="B502" t="s">
        <v>2</v>
      </c>
      <c r="C502" t="s">
        <v>198</v>
      </c>
      <c r="D502" t="s">
        <v>55</v>
      </c>
      <c r="E502" t="s">
        <v>12</v>
      </c>
      <c r="F502" s="2">
        <v>44470</v>
      </c>
      <c r="G502" s="3">
        <v>5</v>
      </c>
      <c r="H502" s="3">
        <v>5</v>
      </c>
      <c r="I502" s="3">
        <v>5</v>
      </c>
      <c r="J502" s="3">
        <v>5</v>
      </c>
      <c r="K502" s="3">
        <v>5</v>
      </c>
      <c r="L502" s="3">
        <v>5</v>
      </c>
      <c r="M502" s="3">
        <v>5</v>
      </c>
    </row>
    <row r="503" spans="1:13">
      <c r="A503" t="s">
        <v>77</v>
      </c>
      <c r="B503" t="s">
        <v>278</v>
      </c>
      <c r="C503" t="s">
        <v>574</v>
      </c>
      <c r="D503" t="s">
        <v>55</v>
      </c>
      <c r="E503" t="s">
        <v>26</v>
      </c>
      <c r="F503" s="2">
        <v>44444</v>
      </c>
      <c r="G503" s="3">
        <v>5</v>
      </c>
      <c r="H503" s="3">
        <v>5</v>
      </c>
      <c r="I503" s="3">
        <v>5</v>
      </c>
      <c r="J503" s="3">
        <v>5</v>
      </c>
      <c r="K503" s="3">
        <v>5</v>
      </c>
      <c r="L503" s="3">
        <v>5</v>
      </c>
      <c r="M503" s="3">
        <v>4</v>
      </c>
    </row>
    <row r="504" spans="1:13">
      <c r="A504" t="s">
        <v>7</v>
      </c>
      <c r="B504" t="s">
        <v>2</v>
      </c>
      <c r="C504" t="s">
        <v>198</v>
      </c>
      <c r="D504" t="s">
        <v>3</v>
      </c>
      <c r="E504" t="s">
        <v>558</v>
      </c>
      <c r="F504" s="2">
        <v>44505</v>
      </c>
      <c r="G504" s="3">
        <v>3</v>
      </c>
      <c r="H504" s="3">
        <v>4</v>
      </c>
      <c r="I504" s="3">
        <v>3</v>
      </c>
      <c r="J504" s="3">
        <v>3</v>
      </c>
      <c r="K504" s="3">
        <v>4</v>
      </c>
      <c r="L504" s="3">
        <v>4</v>
      </c>
      <c r="M504" s="3">
        <v>3</v>
      </c>
    </row>
    <row r="505" spans="1:13">
      <c r="A505" t="s">
        <v>170</v>
      </c>
      <c r="B505" t="s">
        <v>2</v>
      </c>
      <c r="C505" t="s">
        <v>198</v>
      </c>
      <c r="D505" t="s">
        <v>3</v>
      </c>
      <c r="E505" t="s">
        <v>15</v>
      </c>
      <c r="F505" s="2">
        <v>44507</v>
      </c>
      <c r="G505" s="3">
        <v>5</v>
      </c>
      <c r="H505" s="3">
        <v>5</v>
      </c>
      <c r="I505" s="3">
        <v>5</v>
      </c>
      <c r="J505" s="3">
        <v>5</v>
      </c>
      <c r="K505" s="3">
        <v>5</v>
      </c>
      <c r="L505" s="3">
        <v>5</v>
      </c>
      <c r="M505" s="3">
        <v>5</v>
      </c>
    </row>
    <row r="506" spans="1:13">
      <c r="A506" t="s">
        <v>279</v>
      </c>
      <c r="B506" t="s">
        <v>2</v>
      </c>
      <c r="C506" t="s">
        <v>198</v>
      </c>
      <c r="D506" t="s">
        <v>3</v>
      </c>
      <c r="E506" t="s">
        <v>558</v>
      </c>
      <c r="F506" s="2">
        <v>44256</v>
      </c>
      <c r="G506" s="3">
        <v>5</v>
      </c>
      <c r="H506" s="3">
        <v>4</v>
      </c>
      <c r="I506" s="3">
        <v>5</v>
      </c>
      <c r="J506" s="3">
        <v>3</v>
      </c>
      <c r="K506" s="3">
        <v>5</v>
      </c>
      <c r="L506" s="3">
        <v>5</v>
      </c>
      <c r="M506" s="3">
        <v>5</v>
      </c>
    </row>
    <row r="507" spans="1:13">
      <c r="A507" t="s">
        <v>280</v>
      </c>
      <c r="B507" t="s">
        <v>243</v>
      </c>
      <c r="C507" t="str" cm="1">
        <f t="array" ref="C507">_xlfn.IFS(B507="Neemrana","Rajasthan",B507="Tadepalligudem","Andhra Pradesh",B507="Kolkata","West Bengal",B507="Unknown","Unknown",B507="Andheri East,Chakala","Mumbai",B507="Ahmadnagar","Maharastra",B507="Sri City","Andhra Pradesh",B507="Gurgaon","Haryana",B507="Ahmedbad","Gujarat",B507="Jaipur","Rajasthan",B507="Chennai","Tamil Nadu")</f>
        <v>Haryana</v>
      </c>
      <c r="D507" t="s">
        <v>55</v>
      </c>
      <c r="E507" t="s">
        <v>558</v>
      </c>
      <c r="F507" s="2">
        <v>44386</v>
      </c>
      <c r="G507" s="3">
        <v>4</v>
      </c>
      <c r="H507" s="3">
        <v>3</v>
      </c>
      <c r="I507" s="3">
        <v>3</v>
      </c>
      <c r="J507" s="3">
        <v>2</v>
      </c>
      <c r="K507" s="3">
        <v>3</v>
      </c>
      <c r="L507" s="3">
        <v>4</v>
      </c>
      <c r="M507" s="3">
        <v>3</v>
      </c>
    </row>
    <row r="508" spans="1:13">
      <c r="A508" t="s">
        <v>281</v>
      </c>
      <c r="B508" t="s">
        <v>564</v>
      </c>
      <c r="C508" t="s">
        <v>50</v>
      </c>
      <c r="D508" t="s">
        <v>3</v>
      </c>
      <c r="E508" t="s">
        <v>79</v>
      </c>
      <c r="F508" s="2">
        <v>44536</v>
      </c>
      <c r="G508" s="3">
        <v>3</v>
      </c>
      <c r="H508" s="3">
        <v>3</v>
      </c>
      <c r="I508" s="3">
        <v>3</v>
      </c>
      <c r="J508" s="3">
        <v>3</v>
      </c>
      <c r="K508" s="3">
        <v>3</v>
      </c>
      <c r="L508" s="3">
        <v>3</v>
      </c>
      <c r="M508" s="3">
        <v>3</v>
      </c>
    </row>
    <row r="509" spans="1:13">
      <c r="A509" t="s">
        <v>105</v>
      </c>
      <c r="B509" t="s">
        <v>2</v>
      </c>
      <c r="C509" t="s">
        <v>198</v>
      </c>
      <c r="D509" t="s">
        <v>3</v>
      </c>
      <c r="E509" t="s">
        <v>558</v>
      </c>
      <c r="F509" s="2">
        <v>44256</v>
      </c>
      <c r="G509" s="3">
        <v>5</v>
      </c>
      <c r="H509" s="3">
        <v>5</v>
      </c>
      <c r="I509" s="3">
        <v>4</v>
      </c>
      <c r="J509" s="3">
        <v>4</v>
      </c>
      <c r="K509" s="3">
        <v>5</v>
      </c>
      <c r="L509" s="3">
        <v>5</v>
      </c>
      <c r="M509" s="3">
        <v>5</v>
      </c>
    </row>
    <row r="510" spans="1:13">
      <c r="A510" t="s">
        <v>282</v>
      </c>
      <c r="B510" t="s">
        <v>193</v>
      </c>
      <c r="C510" t="s">
        <v>572</v>
      </c>
      <c r="D510" t="s">
        <v>3</v>
      </c>
      <c r="E510" t="s">
        <v>69</v>
      </c>
      <c r="F510" s="2">
        <v>45171</v>
      </c>
      <c r="G510" s="3">
        <v>5</v>
      </c>
      <c r="H510" s="3">
        <v>5</v>
      </c>
      <c r="I510" s="3">
        <v>5</v>
      </c>
      <c r="J510" s="3">
        <v>5</v>
      </c>
      <c r="K510" s="3">
        <v>5</v>
      </c>
      <c r="L510" s="3">
        <v>5</v>
      </c>
      <c r="M510" s="3">
        <v>3</v>
      </c>
    </row>
    <row r="511" spans="1:13">
      <c r="A511" t="s">
        <v>105</v>
      </c>
      <c r="B511" t="s">
        <v>2</v>
      </c>
      <c r="C511" t="s">
        <v>198</v>
      </c>
      <c r="D511" t="s">
        <v>3</v>
      </c>
      <c r="E511" t="s">
        <v>12</v>
      </c>
      <c r="F511" s="2">
        <v>44205</v>
      </c>
      <c r="G511" s="3">
        <v>5</v>
      </c>
      <c r="H511" s="3">
        <v>5</v>
      </c>
      <c r="I511" s="3">
        <v>4</v>
      </c>
      <c r="J511" s="3">
        <v>5</v>
      </c>
      <c r="K511" s="3">
        <v>5</v>
      </c>
      <c r="L511" s="3">
        <v>5</v>
      </c>
      <c r="M511" s="3">
        <v>3</v>
      </c>
    </row>
    <row r="512" spans="1:13">
      <c r="A512" t="s">
        <v>554</v>
      </c>
      <c r="B512" t="s">
        <v>2</v>
      </c>
      <c r="C512" t="s">
        <v>198</v>
      </c>
      <c r="D512" t="s">
        <v>3</v>
      </c>
      <c r="E512" t="s">
        <v>12</v>
      </c>
      <c r="F512" s="2">
        <v>44110</v>
      </c>
      <c r="G512" s="3">
        <v>1</v>
      </c>
      <c r="H512" s="3">
        <v>1</v>
      </c>
      <c r="I512" s="3">
        <v>2</v>
      </c>
      <c r="J512" s="3">
        <v>1</v>
      </c>
      <c r="K512" s="3">
        <v>4</v>
      </c>
      <c r="L512" s="3">
        <v>2</v>
      </c>
      <c r="M512" s="3">
        <v>1</v>
      </c>
    </row>
    <row r="513" spans="1:13">
      <c r="A513" t="s">
        <v>101</v>
      </c>
      <c r="B513" t="s">
        <v>117</v>
      </c>
      <c r="C513" t="s">
        <v>572</v>
      </c>
      <c r="D513" t="s">
        <v>3</v>
      </c>
      <c r="E513" t="s">
        <v>558</v>
      </c>
      <c r="F513" s="2">
        <v>44112</v>
      </c>
      <c r="G513" s="3">
        <v>1</v>
      </c>
      <c r="H513" s="3">
        <v>1</v>
      </c>
      <c r="I513" s="3">
        <v>1</v>
      </c>
      <c r="J513" s="3">
        <v>1</v>
      </c>
      <c r="K513" s="3">
        <v>1</v>
      </c>
      <c r="L513" s="3">
        <v>1</v>
      </c>
      <c r="M513" s="3">
        <v>1</v>
      </c>
    </row>
    <row r="514" spans="1:13">
      <c r="A514" t="s">
        <v>598</v>
      </c>
      <c r="B514" t="s">
        <v>2</v>
      </c>
      <c r="C514" t="s">
        <v>198</v>
      </c>
      <c r="D514" t="s">
        <v>3</v>
      </c>
      <c r="E514" t="s">
        <v>199</v>
      </c>
      <c r="F514" s="2">
        <v>44322</v>
      </c>
      <c r="G514" s="3">
        <v>3</v>
      </c>
      <c r="H514" s="3">
        <v>2</v>
      </c>
      <c r="I514" s="3">
        <v>2</v>
      </c>
      <c r="J514" s="3">
        <v>2</v>
      </c>
      <c r="K514" s="3">
        <v>4</v>
      </c>
      <c r="L514" s="3">
        <v>3</v>
      </c>
      <c r="M514" s="3">
        <v>4</v>
      </c>
    </row>
    <row r="515" spans="1:13">
      <c r="A515" t="s">
        <v>558</v>
      </c>
      <c r="B515" t="s">
        <v>2</v>
      </c>
      <c r="C515" t="s">
        <v>198</v>
      </c>
      <c r="D515" t="s">
        <v>558</v>
      </c>
      <c r="E515" t="s">
        <v>283</v>
      </c>
      <c r="F515" s="2">
        <v>44445</v>
      </c>
      <c r="G515" s="3">
        <v>4</v>
      </c>
      <c r="H515" s="3">
        <v>3</v>
      </c>
      <c r="I515" s="3">
        <v>1</v>
      </c>
      <c r="J515" s="3">
        <v>3</v>
      </c>
      <c r="K515" s="3">
        <v>5</v>
      </c>
      <c r="L515" s="3">
        <v>5</v>
      </c>
      <c r="M515" s="3">
        <v>1</v>
      </c>
    </row>
    <row r="516" spans="1:13">
      <c r="A516" t="s">
        <v>285</v>
      </c>
      <c r="B516" t="s">
        <v>284</v>
      </c>
      <c r="C516" t="s">
        <v>574</v>
      </c>
      <c r="D516" t="s">
        <v>3</v>
      </c>
      <c r="E516" t="s">
        <v>627</v>
      </c>
      <c r="F516" s="2">
        <v>44383</v>
      </c>
      <c r="G516" s="3">
        <v>5</v>
      </c>
      <c r="H516" s="3">
        <v>5</v>
      </c>
      <c r="I516" s="3">
        <v>5</v>
      </c>
      <c r="J516" s="3">
        <v>5</v>
      </c>
      <c r="K516" s="3">
        <v>5</v>
      </c>
      <c r="L516" s="3">
        <v>5</v>
      </c>
      <c r="M516" s="3">
        <v>5</v>
      </c>
    </row>
    <row r="517" spans="1:13">
      <c r="A517" t="s">
        <v>133</v>
      </c>
      <c r="B517" t="s">
        <v>50</v>
      </c>
      <c r="C517" t="s">
        <v>50</v>
      </c>
      <c r="D517" t="s">
        <v>3</v>
      </c>
      <c r="E517" t="s">
        <v>638</v>
      </c>
      <c r="F517" s="2">
        <v>44596</v>
      </c>
      <c r="G517" s="3">
        <v>5</v>
      </c>
      <c r="H517" s="3">
        <v>5</v>
      </c>
      <c r="I517" s="3">
        <v>5</v>
      </c>
      <c r="J517" s="3">
        <v>5</v>
      </c>
      <c r="K517" s="3">
        <v>5</v>
      </c>
      <c r="L517" s="3">
        <v>5</v>
      </c>
      <c r="M517" s="3">
        <v>5</v>
      </c>
    </row>
    <row r="518" spans="1:13">
      <c r="A518" t="s">
        <v>13</v>
      </c>
      <c r="B518" t="s">
        <v>78</v>
      </c>
      <c r="C518" t="s">
        <v>569</v>
      </c>
      <c r="D518" t="s">
        <v>3</v>
      </c>
      <c r="E518" t="s">
        <v>558</v>
      </c>
      <c r="F518" s="2">
        <v>44409</v>
      </c>
      <c r="G518" s="3">
        <v>4</v>
      </c>
      <c r="H518" s="3">
        <v>1</v>
      </c>
      <c r="I518" s="3">
        <v>5</v>
      </c>
      <c r="J518" s="3">
        <v>3</v>
      </c>
      <c r="K518" s="3">
        <v>5</v>
      </c>
      <c r="L518" s="3">
        <v>4</v>
      </c>
      <c r="M518" s="3">
        <v>3</v>
      </c>
    </row>
    <row r="519" spans="1:13">
      <c r="A519" t="s">
        <v>546</v>
      </c>
      <c r="B519" t="s">
        <v>2</v>
      </c>
      <c r="C519" t="s">
        <v>198</v>
      </c>
      <c r="D519" t="s">
        <v>3</v>
      </c>
      <c r="E519" t="s">
        <v>43</v>
      </c>
      <c r="F519" s="2">
        <v>44716</v>
      </c>
      <c r="G519" s="3">
        <v>5</v>
      </c>
      <c r="H519" s="3">
        <v>5</v>
      </c>
      <c r="I519" s="3">
        <v>4</v>
      </c>
      <c r="J519" s="3">
        <v>4</v>
      </c>
      <c r="K519" s="3">
        <v>5</v>
      </c>
      <c r="L519" s="3">
        <v>4</v>
      </c>
      <c r="M519" s="3">
        <v>5</v>
      </c>
    </row>
    <row r="520" spans="1:13">
      <c r="A520" t="s">
        <v>35</v>
      </c>
      <c r="B520" t="s">
        <v>286</v>
      </c>
      <c r="C520" t="s">
        <v>198</v>
      </c>
      <c r="D520" t="s">
        <v>3</v>
      </c>
      <c r="E520" t="s">
        <v>23</v>
      </c>
      <c r="F520" s="2">
        <v>44288</v>
      </c>
      <c r="G520" s="3">
        <v>3</v>
      </c>
      <c r="H520" s="3">
        <v>3</v>
      </c>
      <c r="I520" s="3">
        <v>3</v>
      </c>
      <c r="J520" s="3">
        <v>3</v>
      </c>
      <c r="K520" s="3">
        <v>3</v>
      </c>
      <c r="L520" s="3">
        <v>3</v>
      </c>
      <c r="M520" s="3">
        <v>2</v>
      </c>
    </row>
    <row r="521" spans="1:13">
      <c r="A521" t="s">
        <v>1</v>
      </c>
      <c r="B521" t="s">
        <v>2</v>
      </c>
      <c r="C521" t="s">
        <v>198</v>
      </c>
      <c r="D521" t="s">
        <v>3</v>
      </c>
      <c r="E521" t="s">
        <v>26</v>
      </c>
      <c r="F521" s="2">
        <v>44627</v>
      </c>
      <c r="G521" s="3">
        <v>4</v>
      </c>
      <c r="H521" s="3">
        <v>4</v>
      </c>
      <c r="I521" s="3">
        <v>4</v>
      </c>
      <c r="J521" s="3">
        <v>4</v>
      </c>
      <c r="K521" s="3">
        <v>3</v>
      </c>
      <c r="L521" s="3">
        <v>3</v>
      </c>
      <c r="M521" s="3">
        <v>3</v>
      </c>
    </row>
    <row r="522" spans="1:13">
      <c r="A522" t="s">
        <v>1</v>
      </c>
      <c r="B522" t="s">
        <v>2</v>
      </c>
      <c r="C522" t="s">
        <v>198</v>
      </c>
      <c r="D522" t="s">
        <v>3</v>
      </c>
      <c r="E522" t="s">
        <v>616</v>
      </c>
      <c r="F522" s="2">
        <v>44257</v>
      </c>
      <c r="G522" s="3">
        <v>4</v>
      </c>
      <c r="H522" s="3">
        <v>4</v>
      </c>
      <c r="I522" s="3">
        <v>4</v>
      </c>
      <c r="J522" s="3">
        <v>4</v>
      </c>
      <c r="K522" s="3">
        <v>4</v>
      </c>
      <c r="L522" s="3">
        <v>4</v>
      </c>
      <c r="M522" s="3">
        <v>4</v>
      </c>
    </row>
    <row r="523" spans="1:13">
      <c r="A523" t="s">
        <v>669</v>
      </c>
      <c r="B523" t="s">
        <v>2</v>
      </c>
      <c r="C523" t="s">
        <v>198</v>
      </c>
      <c r="D523" t="s">
        <v>3</v>
      </c>
      <c r="E523" t="s">
        <v>260</v>
      </c>
      <c r="F523" s="2">
        <v>44447</v>
      </c>
      <c r="G523" s="3">
        <v>5</v>
      </c>
      <c r="H523" s="3">
        <v>5</v>
      </c>
      <c r="I523" s="3">
        <v>4</v>
      </c>
      <c r="J523" s="3">
        <v>5</v>
      </c>
      <c r="K523" s="3">
        <v>5</v>
      </c>
      <c r="L523" s="3">
        <v>5</v>
      </c>
      <c r="M523" s="3">
        <v>4</v>
      </c>
    </row>
    <row r="524" spans="1:13">
      <c r="A524" t="s">
        <v>670</v>
      </c>
      <c r="B524" t="s">
        <v>2</v>
      </c>
      <c r="C524" t="s">
        <v>198</v>
      </c>
      <c r="D524" t="s">
        <v>3</v>
      </c>
      <c r="E524" t="s">
        <v>260</v>
      </c>
      <c r="F524" s="2">
        <v>44260</v>
      </c>
      <c r="G524" s="3">
        <v>2</v>
      </c>
      <c r="H524" s="3">
        <v>3</v>
      </c>
      <c r="I524" s="3">
        <v>1</v>
      </c>
      <c r="J524" s="3">
        <v>2</v>
      </c>
      <c r="K524" s="3">
        <v>4</v>
      </c>
      <c r="L524" s="3">
        <v>3</v>
      </c>
      <c r="M524" s="3">
        <v>2</v>
      </c>
    </row>
    <row r="525" spans="1:13">
      <c r="A525" t="s">
        <v>16</v>
      </c>
      <c r="B525" t="s">
        <v>2</v>
      </c>
      <c r="C525" t="s">
        <v>198</v>
      </c>
      <c r="D525" t="s">
        <v>3</v>
      </c>
      <c r="E525" t="s">
        <v>15</v>
      </c>
      <c r="F525" s="2">
        <v>44566</v>
      </c>
      <c r="G525" s="3">
        <v>5</v>
      </c>
      <c r="H525" s="3">
        <v>5</v>
      </c>
      <c r="I525" s="3">
        <v>5</v>
      </c>
      <c r="J525" s="3">
        <v>3</v>
      </c>
      <c r="K525" s="3">
        <v>5</v>
      </c>
      <c r="L525" s="3">
        <v>3</v>
      </c>
      <c r="M525" s="3">
        <v>3</v>
      </c>
    </row>
    <row r="526" spans="1:13">
      <c r="A526" t="s">
        <v>287</v>
      </c>
      <c r="B526" t="s">
        <v>288</v>
      </c>
      <c r="C526" t="s">
        <v>572</v>
      </c>
      <c r="D526" t="s">
        <v>3</v>
      </c>
      <c r="E526" t="s">
        <v>616</v>
      </c>
      <c r="F526" s="2">
        <v>44625</v>
      </c>
      <c r="G526" s="3">
        <v>2</v>
      </c>
      <c r="H526" s="3">
        <v>2</v>
      </c>
      <c r="I526" s="3">
        <v>2</v>
      </c>
      <c r="J526" s="3">
        <v>2</v>
      </c>
      <c r="K526" s="3">
        <v>1</v>
      </c>
      <c r="L526" s="3">
        <v>1</v>
      </c>
      <c r="M526" s="3">
        <v>1</v>
      </c>
    </row>
    <row r="527" spans="1:13">
      <c r="A527" t="s">
        <v>289</v>
      </c>
      <c r="B527" t="s">
        <v>2</v>
      </c>
      <c r="C527" t="s">
        <v>198</v>
      </c>
      <c r="D527" t="s">
        <v>3</v>
      </c>
      <c r="E527" t="s">
        <v>558</v>
      </c>
      <c r="F527" s="2">
        <v>44780</v>
      </c>
      <c r="G527" s="3">
        <v>5</v>
      </c>
      <c r="H527" s="3">
        <v>5</v>
      </c>
      <c r="I527" s="3">
        <v>5</v>
      </c>
      <c r="J527" s="3">
        <v>5</v>
      </c>
      <c r="K527" s="3">
        <v>5</v>
      </c>
      <c r="L527" s="3">
        <v>5</v>
      </c>
      <c r="M527" s="3">
        <v>5</v>
      </c>
    </row>
    <row r="528" spans="1:13">
      <c r="A528" t="s">
        <v>220</v>
      </c>
      <c r="B528" t="s">
        <v>2</v>
      </c>
      <c r="C528" t="s">
        <v>198</v>
      </c>
      <c r="D528" t="s">
        <v>3</v>
      </c>
      <c r="E528" t="s">
        <v>558</v>
      </c>
      <c r="F528" s="2">
        <v>44658</v>
      </c>
      <c r="G528" s="3">
        <v>3</v>
      </c>
      <c r="H528" s="3">
        <v>5</v>
      </c>
      <c r="I528" s="3">
        <v>1</v>
      </c>
      <c r="J528" s="3">
        <v>3</v>
      </c>
      <c r="K528" s="3">
        <v>5</v>
      </c>
      <c r="L528" s="3">
        <v>3</v>
      </c>
      <c r="M528" s="3">
        <v>3</v>
      </c>
    </row>
    <row r="529" spans="1:13">
      <c r="A529" t="s">
        <v>290</v>
      </c>
      <c r="B529" t="s">
        <v>2</v>
      </c>
      <c r="C529" t="s">
        <v>198</v>
      </c>
      <c r="D529" t="s">
        <v>3</v>
      </c>
      <c r="E529" t="s">
        <v>49</v>
      </c>
      <c r="F529" s="2">
        <v>44320</v>
      </c>
      <c r="G529" s="3">
        <v>5</v>
      </c>
      <c r="H529" s="3">
        <v>5</v>
      </c>
      <c r="I529" s="3">
        <v>3</v>
      </c>
      <c r="J529" s="3">
        <v>1</v>
      </c>
      <c r="K529" s="3">
        <v>5</v>
      </c>
      <c r="L529" s="3">
        <v>5</v>
      </c>
      <c r="M529" s="3">
        <v>1</v>
      </c>
    </row>
    <row r="530" spans="1:13">
      <c r="A530" t="s">
        <v>1</v>
      </c>
      <c r="B530" t="s">
        <v>2</v>
      </c>
      <c r="C530" t="s">
        <v>198</v>
      </c>
      <c r="D530" t="s">
        <v>3</v>
      </c>
      <c r="E530" t="s">
        <v>12</v>
      </c>
      <c r="F530" s="2">
        <v>44105</v>
      </c>
      <c r="G530" s="3">
        <v>4</v>
      </c>
      <c r="H530" s="3">
        <v>4</v>
      </c>
      <c r="I530" s="3">
        <v>4</v>
      </c>
      <c r="J530" s="3">
        <v>3</v>
      </c>
      <c r="K530" s="3">
        <v>5</v>
      </c>
      <c r="L530" s="3">
        <v>4</v>
      </c>
      <c r="M530" s="3">
        <v>4</v>
      </c>
    </row>
    <row r="531" spans="1:13">
      <c r="A531" t="s">
        <v>1</v>
      </c>
      <c r="B531" t="s">
        <v>2</v>
      </c>
      <c r="C531" t="s">
        <v>198</v>
      </c>
      <c r="D531" t="s">
        <v>3</v>
      </c>
      <c r="E531" t="s">
        <v>616</v>
      </c>
      <c r="F531" s="2">
        <v>44353</v>
      </c>
      <c r="G531" s="3">
        <v>5</v>
      </c>
      <c r="H531" s="3">
        <v>5</v>
      </c>
      <c r="I531" s="3">
        <v>4</v>
      </c>
      <c r="J531" s="3">
        <v>3</v>
      </c>
      <c r="K531" s="3">
        <v>5</v>
      </c>
      <c r="L531" s="3">
        <v>3</v>
      </c>
      <c r="M531" s="3">
        <v>1</v>
      </c>
    </row>
    <row r="532" spans="1:13">
      <c r="A532" t="s">
        <v>291</v>
      </c>
      <c r="B532" t="s">
        <v>286</v>
      </c>
      <c r="C532" t="s">
        <v>198</v>
      </c>
      <c r="D532" t="s">
        <v>3</v>
      </c>
      <c r="E532" t="s">
        <v>23</v>
      </c>
      <c r="F532" s="2">
        <v>44289</v>
      </c>
      <c r="G532" s="3">
        <v>4</v>
      </c>
      <c r="H532" s="3">
        <v>4</v>
      </c>
      <c r="I532" s="3">
        <v>3</v>
      </c>
      <c r="J532" s="3">
        <v>4</v>
      </c>
      <c r="K532" s="3">
        <v>5</v>
      </c>
      <c r="L532" s="3">
        <v>4</v>
      </c>
      <c r="M532" s="3">
        <v>4</v>
      </c>
    </row>
    <row r="533" spans="1:13">
      <c r="A533" t="s">
        <v>292</v>
      </c>
      <c r="B533" t="s">
        <v>243</v>
      </c>
      <c r="C533" t="str" cm="1">
        <f t="array" ref="C533">_xlfn.IFS(B533="Neemrana","Rajasthan",B533="Tadepalligudem","Andhra Pradesh",B533="Kolkata","West Bengal",B533="Unknown","Unknown",B533="Andheri East,Chakala","Mumbai",B533="Ahmadnagar","Maharastra",B533="Sri City","Andhra Pradesh",B533="Gurgaon","Haryana",B533="Ahmedbad","Gujarat",B533="Jaipur","Rajasthan",B533="Chennai","Tamil Nadu")</f>
        <v>Haryana</v>
      </c>
      <c r="D533" t="s">
        <v>3</v>
      </c>
      <c r="E533" t="s">
        <v>46</v>
      </c>
      <c r="F533" s="2">
        <v>44356</v>
      </c>
      <c r="G533" s="3">
        <v>5</v>
      </c>
      <c r="H533" s="3">
        <v>5</v>
      </c>
      <c r="I533" s="3">
        <v>5</v>
      </c>
      <c r="J533" s="3">
        <v>5</v>
      </c>
      <c r="K533" s="3">
        <v>5</v>
      </c>
      <c r="L533" s="3">
        <v>5</v>
      </c>
      <c r="M533" s="3">
        <v>5</v>
      </c>
    </row>
    <row r="534" spans="1:13">
      <c r="A534" t="s">
        <v>35</v>
      </c>
      <c r="B534" t="s">
        <v>39</v>
      </c>
      <c r="C534" t="s">
        <v>358</v>
      </c>
      <c r="D534" t="s">
        <v>3</v>
      </c>
      <c r="E534" t="s">
        <v>627</v>
      </c>
      <c r="F534" s="2">
        <v>44805</v>
      </c>
      <c r="G534" s="3">
        <v>4</v>
      </c>
      <c r="H534" s="3">
        <v>4</v>
      </c>
      <c r="I534" s="3">
        <v>5</v>
      </c>
      <c r="J534" s="3">
        <v>4</v>
      </c>
      <c r="K534" s="3">
        <v>5</v>
      </c>
      <c r="L534" s="3">
        <v>5</v>
      </c>
      <c r="M534" s="3">
        <v>2</v>
      </c>
    </row>
    <row r="535" spans="1:13">
      <c r="A535" t="s">
        <v>28</v>
      </c>
      <c r="B535" t="s">
        <v>585</v>
      </c>
      <c r="C535" t="s">
        <v>586</v>
      </c>
      <c r="D535" t="s">
        <v>3</v>
      </c>
      <c r="E535" t="s">
        <v>148</v>
      </c>
      <c r="F535" s="2">
        <v>44874</v>
      </c>
      <c r="G535" s="3">
        <v>4</v>
      </c>
      <c r="H535" s="3">
        <v>1</v>
      </c>
      <c r="I535" s="3">
        <v>3</v>
      </c>
      <c r="J535" s="3">
        <v>2</v>
      </c>
      <c r="K535" s="3">
        <v>4</v>
      </c>
      <c r="L535" s="3">
        <v>2</v>
      </c>
      <c r="M535" s="3">
        <v>2</v>
      </c>
    </row>
    <row r="536" spans="1:13">
      <c r="A536" t="s">
        <v>1</v>
      </c>
      <c r="B536" t="s">
        <v>2</v>
      </c>
      <c r="C536" t="s">
        <v>198</v>
      </c>
      <c r="D536" t="s">
        <v>3</v>
      </c>
      <c r="E536" t="s">
        <v>12</v>
      </c>
      <c r="F536" s="2">
        <v>44321</v>
      </c>
      <c r="G536" s="3">
        <v>4</v>
      </c>
      <c r="H536" s="3">
        <v>4</v>
      </c>
      <c r="I536" s="3">
        <v>4</v>
      </c>
      <c r="J536" s="3">
        <v>4</v>
      </c>
      <c r="K536" s="3">
        <v>5</v>
      </c>
      <c r="L536" s="3">
        <v>5</v>
      </c>
      <c r="M536" s="3">
        <v>4</v>
      </c>
    </row>
    <row r="537" spans="1:13">
      <c r="A537" t="s">
        <v>558</v>
      </c>
      <c r="B537" t="s">
        <v>564</v>
      </c>
      <c r="C537" t="s">
        <v>50</v>
      </c>
      <c r="D537" t="s">
        <v>558</v>
      </c>
      <c r="E537" t="s">
        <v>26</v>
      </c>
      <c r="F537" s="2">
        <v>44295</v>
      </c>
      <c r="G537" s="3">
        <v>4</v>
      </c>
      <c r="H537" s="3">
        <v>3</v>
      </c>
      <c r="I537" s="3">
        <v>4</v>
      </c>
      <c r="J537" s="3">
        <v>5</v>
      </c>
      <c r="K537" s="3">
        <v>3</v>
      </c>
      <c r="L537" s="3">
        <v>4</v>
      </c>
      <c r="M537" s="3">
        <v>5</v>
      </c>
    </row>
    <row r="538" spans="1:13">
      <c r="A538" t="s">
        <v>293</v>
      </c>
      <c r="B538" t="s">
        <v>118</v>
      </c>
      <c r="C538" t="s">
        <v>579</v>
      </c>
      <c r="D538" t="s">
        <v>3</v>
      </c>
      <c r="E538" t="s">
        <v>558</v>
      </c>
      <c r="F538" s="2">
        <v>44415</v>
      </c>
      <c r="G538" s="3">
        <v>5</v>
      </c>
      <c r="H538" s="3">
        <v>5</v>
      </c>
      <c r="I538" s="3">
        <v>5</v>
      </c>
      <c r="J538" s="3">
        <v>5</v>
      </c>
      <c r="K538" s="3">
        <v>5</v>
      </c>
      <c r="L538" s="3">
        <v>5</v>
      </c>
      <c r="M538" s="3">
        <v>5</v>
      </c>
    </row>
    <row r="539" spans="1:13">
      <c r="A539" t="s">
        <v>31</v>
      </c>
      <c r="B539" t="s">
        <v>2</v>
      </c>
      <c r="C539" t="s">
        <v>198</v>
      </c>
      <c r="D539" t="s">
        <v>3</v>
      </c>
      <c r="E539" t="s">
        <v>26</v>
      </c>
      <c r="F539" s="2">
        <v>44287</v>
      </c>
      <c r="G539" s="3">
        <v>5</v>
      </c>
      <c r="H539" s="3">
        <v>4</v>
      </c>
      <c r="I539" s="3">
        <v>5</v>
      </c>
      <c r="J539" s="3">
        <v>4</v>
      </c>
      <c r="K539" s="3">
        <v>5</v>
      </c>
      <c r="L539" s="3">
        <v>5</v>
      </c>
      <c r="M539" s="3">
        <v>5</v>
      </c>
    </row>
    <row r="540" spans="1:13">
      <c r="A540" t="s">
        <v>294</v>
      </c>
      <c r="B540" t="s">
        <v>2</v>
      </c>
      <c r="C540" t="s">
        <v>198</v>
      </c>
      <c r="D540" t="s">
        <v>3</v>
      </c>
      <c r="E540" t="s">
        <v>122</v>
      </c>
      <c r="F540" s="2">
        <v>44413</v>
      </c>
      <c r="G540" s="3">
        <v>5</v>
      </c>
      <c r="H540" s="3">
        <v>5</v>
      </c>
      <c r="I540" s="3">
        <v>5</v>
      </c>
      <c r="J540" s="3">
        <v>5</v>
      </c>
      <c r="K540" s="3">
        <v>5</v>
      </c>
      <c r="L540" s="3">
        <v>5</v>
      </c>
      <c r="M540" s="3">
        <v>5</v>
      </c>
    </row>
    <row r="541" spans="1:13">
      <c r="A541" t="s">
        <v>295</v>
      </c>
      <c r="B541" t="s">
        <v>296</v>
      </c>
      <c r="C541" t="s">
        <v>567</v>
      </c>
      <c r="D541" t="s">
        <v>3</v>
      </c>
      <c r="E541" t="s">
        <v>15</v>
      </c>
      <c r="F541" s="2">
        <v>44323</v>
      </c>
      <c r="G541" s="3">
        <v>5</v>
      </c>
      <c r="H541" s="3">
        <v>5</v>
      </c>
      <c r="I541" s="3">
        <v>5</v>
      </c>
      <c r="J541" s="3">
        <v>5</v>
      </c>
      <c r="K541" s="3">
        <v>5</v>
      </c>
      <c r="L541" s="3">
        <v>5</v>
      </c>
      <c r="M541" s="3">
        <v>5</v>
      </c>
    </row>
    <row r="542" spans="1:13">
      <c r="A542" t="s">
        <v>297</v>
      </c>
      <c r="B542" t="s">
        <v>2</v>
      </c>
      <c r="C542" t="s">
        <v>198</v>
      </c>
      <c r="D542" t="s">
        <v>3</v>
      </c>
      <c r="E542" t="s">
        <v>558</v>
      </c>
      <c r="F542" s="2">
        <v>44020</v>
      </c>
      <c r="G542" s="3">
        <v>5</v>
      </c>
      <c r="H542" s="3">
        <v>5</v>
      </c>
      <c r="I542" s="3">
        <v>5</v>
      </c>
      <c r="J542" s="3">
        <v>5</v>
      </c>
      <c r="K542" s="3">
        <v>5</v>
      </c>
      <c r="L542" s="3">
        <v>5</v>
      </c>
      <c r="M542" s="3">
        <v>5</v>
      </c>
    </row>
    <row r="543" spans="1:13">
      <c r="A543" t="s">
        <v>298</v>
      </c>
      <c r="B543" t="s">
        <v>2</v>
      </c>
      <c r="C543" t="s">
        <v>198</v>
      </c>
      <c r="D543" t="s">
        <v>3</v>
      </c>
      <c r="E543" t="s">
        <v>139</v>
      </c>
      <c r="F543" s="2">
        <v>44197</v>
      </c>
      <c r="G543" s="3">
        <v>4</v>
      </c>
      <c r="H543" s="3">
        <v>5</v>
      </c>
      <c r="I543" s="3">
        <v>4</v>
      </c>
      <c r="J543" s="3">
        <v>4</v>
      </c>
      <c r="K543" s="3">
        <v>5</v>
      </c>
      <c r="L543" s="3">
        <v>5</v>
      </c>
      <c r="M543" s="3">
        <v>4</v>
      </c>
    </row>
    <row r="544" spans="1:13">
      <c r="A544" t="s">
        <v>28</v>
      </c>
      <c r="B544" t="s">
        <v>72</v>
      </c>
      <c r="C544" t="s">
        <v>578</v>
      </c>
      <c r="D544" t="s">
        <v>3</v>
      </c>
      <c r="E544" t="s">
        <v>619</v>
      </c>
      <c r="F544" s="2">
        <v>44256</v>
      </c>
      <c r="G544" s="3">
        <v>5</v>
      </c>
      <c r="H544" s="3">
        <v>4</v>
      </c>
      <c r="I544" s="3">
        <v>5</v>
      </c>
      <c r="J544" s="3">
        <v>4</v>
      </c>
      <c r="K544" s="3">
        <v>5</v>
      </c>
      <c r="L544" s="3">
        <v>5</v>
      </c>
      <c r="M544" s="3">
        <v>5</v>
      </c>
    </row>
    <row r="545" spans="1:13">
      <c r="A545" t="s">
        <v>105</v>
      </c>
      <c r="B545" t="s">
        <v>243</v>
      </c>
      <c r="C545" t="str" cm="1">
        <f t="array" ref="C545">_xlfn.IFS(B545="Neemrana","Rajasthan",B545="Tadepalligudem","Andhra Pradesh",B545="Kolkata","West Bengal",B545="Unknown","Unknown",B545="Andheri East,Chakala","Mumbai",B545="Ahmadnagar","Maharastra",B545="Sri City","Andhra Pradesh",B545="Gurgaon","Haryana",B545="Ahmedbad","Gujarat",B545="Jaipur","Rajasthan",B545="Chennai","Tamil Nadu")</f>
        <v>Haryana</v>
      </c>
      <c r="D545" t="s">
        <v>3</v>
      </c>
      <c r="E545" t="s">
        <v>26</v>
      </c>
      <c r="F545" s="2">
        <v>44197</v>
      </c>
      <c r="G545" s="3">
        <v>4</v>
      </c>
      <c r="H545" s="3">
        <v>4</v>
      </c>
      <c r="I545" s="3">
        <v>4</v>
      </c>
      <c r="J545" s="3">
        <v>4</v>
      </c>
      <c r="K545" s="3">
        <v>5</v>
      </c>
      <c r="L545" s="3">
        <v>5</v>
      </c>
      <c r="M545" s="3">
        <v>4</v>
      </c>
    </row>
    <row r="546" spans="1:13">
      <c r="A546" t="s">
        <v>299</v>
      </c>
      <c r="B546" t="s">
        <v>300</v>
      </c>
      <c r="C546" t="s">
        <v>572</v>
      </c>
      <c r="D546" t="s">
        <v>3</v>
      </c>
      <c r="E546" t="s">
        <v>301</v>
      </c>
      <c r="F546" s="2">
        <v>44378</v>
      </c>
      <c r="G546" s="3">
        <v>2</v>
      </c>
      <c r="H546" s="3">
        <v>2</v>
      </c>
      <c r="I546" s="3">
        <v>2</v>
      </c>
      <c r="J546" s="3">
        <v>2</v>
      </c>
      <c r="K546" s="3">
        <v>2</v>
      </c>
      <c r="L546" s="3">
        <v>3</v>
      </c>
      <c r="M546" s="3">
        <v>1</v>
      </c>
    </row>
    <row r="547" spans="1:13">
      <c r="A547" t="s">
        <v>562</v>
      </c>
      <c r="B547" t="s">
        <v>78</v>
      </c>
      <c r="C547" t="s">
        <v>569</v>
      </c>
      <c r="D547" t="s">
        <v>55</v>
      </c>
      <c r="E547" t="s">
        <v>4</v>
      </c>
      <c r="F547" s="2">
        <v>44654</v>
      </c>
      <c r="G547" s="3">
        <v>5</v>
      </c>
      <c r="H547" s="3">
        <v>3</v>
      </c>
      <c r="I547" s="3">
        <v>5</v>
      </c>
      <c r="J547" s="3">
        <v>5</v>
      </c>
      <c r="K547" s="3">
        <v>5</v>
      </c>
      <c r="L547" s="3">
        <v>4</v>
      </c>
      <c r="M547" s="3">
        <v>5</v>
      </c>
    </row>
    <row r="548" spans="1:13">
      <c r="A548" t="s">
        <v>238</v>
      </c>
      <c r="B548" t="s">
        <v>286</v>
      </c>
      <c r="C548" t="s">
        <v>198</v>
      </c>
      <c r="D548" t="s">
        <v>3</v>
      </c>
      <c r="E548" t="s">
        <v>23</v>
      </c>
      <c r="F548" s="2">
        <v>44413</v>
      </c>
      <c r="G548" s="3">
        <v>5</v>
      </c>
      <c r="H548" s="3">
        <v>5</v>
      </c>
      <c r="I548" s="3">
        <v>5</v>
      </c>
      <c r="J548" s="3">
        <v>5</v>
      </c>
      <c r="K548" s="3">
        <v>5</v>
      </c>
      <c r="L548" s="3">
        <v>5</v>
      </c>
      <c r="M548" s="3">
        <v>5</v>
      </c>
    </row>
    <row r="549" spans="1:13">
      <c r="A549" t="s">
        <v>1</v>
      </c>
      <c r="B549" t="s">
        <v>564</v>
      </c>
      <c r="C549" t="s">
        <v>50</v>
      </c>
      <c r="D549" t="s">
        <v>3</v>
      </c>
      <c r="E549" t="s">
        <v>616</v>
      </c>
      <c r="F549" s="2">
        <v>44294</v>
      </c>
      <c r="G549" s="3">
        <v>4</v>
      </c>
      <c r="H549" s="3">
        <v>4</v>
      </c>
      <c r="I549" s="3">
        <v>4</v>
      </c>
      <c r="J549" s="3">
        <v>3</v>
      </c>
      <c r="K549" s="3">
        <v>3</v>
      </c>
      <c r="L549" s="3">
        <v>4</v>
      </c>
      <c r="M549" s="3">
        <v>4</v>
      </c>
    </row>
    <row r="550" spans="1:13">
      <c r="A550" t="s">
        <v>599</v>
      </c>
      <c r="B550" t="s">
        <v>302</v>
      </c>
      <c r="C550" t="s">
        <v>569</v>
      </c>
      <c r="D550" t="s">
        <v>3</v>
      </c>
      <c r="E550" t="s">
        <v>638</v>
      </c>
      <c r="F550" s="2">
        <v>44348</v>
      </c>
      <c r="G550" s="3">
        <v>4</v>
      </c>
      <c r="H550" s="3">
        <v>4</v>
      </c>
      <c r="I550" s="3">
        <v>4</v>
      </c>
      <c r="J550" s="3">
        <v>2</v>
      </c>
      <c r="K550" s="3">
        <v>2</v>
      </c>
      <c r="L550" s="3">
        <v>4</v>
      </c>
      <c r="M550" s="3">
        <v>4</v>
      </c>
    </row>
    <row r="551" spans="1:13">
      <c r="A551" t="s">
        <v>298</v>
      </c>
      <c r="B551" t="s">
        <v>2</v>
      </c>
      <c r="C551" t="s">
        <v>198</v>
      </c>
      <c r="D551" t="s">
        <v>3</v>
      </c>
      <c r="E551" t="s">
        <v>26</v>
      </c>
      <c r="F551" s="2">
        <v>45171</v>
      </c>
      <c r="G551" s="3">
        <v>5</v>
      </c>
      <c r="H551" s="3">
        <v>5</v>
      </c>
      <c r="I551" s="3">
        <v>5</v>
      </c>
      <c r="J551" s="3">
        <v>5</v>
      </c>
      <c r="K551" s="3">
        <v>5</v>
      </c>
      <c r="L551" s="3">
        <v>5</v>
      </c>
      <c r="M551" s="3">
        <v>5</v>
      </c>
    </row>
    <row r="552" spans="1:13">
      <c r="A552" t="s">
        <v>115</v>
      </c>
      <c r="B552" t="s">
        <v>243</v>
      </c>
      <c r="C552" t="s">
        <v>574</v>
      </c>
      <c r="D552" t="s">
        <v>3</v>
      </c>
      <c r="E552" t="s">
        <v>558</v>
      </c>
      <c r="F552" s="2">
        <v>44659</v>
      </c>
      <c r="G552" s="3">
        <v>5</v>
      </c>
      <c r="H552" s="3">
        <v>5</v>
      </c>
      <c r="I552" s="3">
        <v>5</v>
      </c>
      <c r="J552" s="3">
        <v>5</v>
      </c>
      <c r="K552" s="3">
        <v>5</v>
      </c>
      <c r="L552" s="3">
        <v>5</v>
      </c>
      <c r="M552" s="3">
        <v>5</v>
      </c>
    </row>
    <row r="553" spans="1:13">
      <c r="A553" t="s">
        <v>303</v>
      </c>
      <c r="B553" t="s">
        <v>304</v>
      </c>
      <c r="C553" t="s">
        <v>579</v>
      </c>
      <c r="D553" t="s">
        <v>3</v>
      </c>
      <c r="E553" t="s">
        <v>201</v>
      </c>
      <c r="F553" s="2">
        <v>44682</v>
      </c>
      <c r="G553" s="3">
        <v>5</v>
      </c>
      <c r="H553" s="3">
        <v>3</v>
      </c>
      <c r="I553" s="3">
        <v>5</v>
      </c>
      <c r="J553" s="3">
        <v>4</v>
      </c>
      <c r="K553" s="3">
        <v>2</v>
      </c>
      <c r="L553" s="3">
        <v>3</v>
      </c>
      <c r="M553" s="3">
        <v>3</v>
      </c>
    </row>
    <row r="554" spans="1:13">
      <c r="A554" t="s">
        <v>1</v>
      </c>
      <c r="B554" t="s">
        <v>2</v>
      </c>
      <c r="C554" t="s">
        <v>198</v>
      </c>
      <c r="D554" t="s">
        <v>3</v>
      </c>
      <c r="E554" t="s">
        <v>139</v>
      </c>
      <c r="F554" s="2">
        <v>44287</v>
      </c>
      <c r="G554" s="3">
        <v>4</v>
      </c>
      <c r="H554" s="3">
        <v>3</v>
      </c>
      <c r="I554" s="3">
        <v>4</v>
      </c>
      <c r="J554" s="3">
        <v>4</v>
      </c>
      <c r="K554" s="3">
        <v>5</v>
      </c>
      <c r="L554" s="3">
        <v>4</v>
      </c>
      <c r="M554" s="3">
        <v>4</v>
      </c>
    </row>
    <row r="555" spans="1:13">
      <c r="A555" t="s">
        <v>77</v>
      </c>
      <c r="B555" t="s">
        <v>2</v>
      </c>
      <c r="C555" t="s">
        <v>198</v>
      </c>
      <c r="D555" t="s">
        <v>3</v>
      </c>
      <c r="E555" t="s">
        <v>15</v>
      </c>
      <c r="F555" s="2">
        <v>44259</v>
      </c>
      <c r="G555" s="3">
        <v>4</v>
      </c>
      <c r="H555" s="3">
        <v>4</v>
      </c>
      <c r="I555" s="3">
        <v>5</v>
      </c>
      <c r="J555" s="3">
        <v>4</v>
      </c>
      <c r="K555" s="3">
        <v>5</v>
      </c>
      <c r="L555" s="3">
        <v>5</v>
      </c>
      <c r="M555" s="3">
        <v>5</v>
      </c>
    </row>
    <row r="556" spans="1:13">
      <c r="A556" t="s">
        <v>1</v>
      </c>
      <c r="B556" t="s">
        <v>243</v>
      </c>
      <c r="C556" t="s">
        <v>574</v>
      </c>
      <c r="D556" t="s">
        <v>3</v>
      </c>
      <c r="E556" t="s">
        <v>26</v>
      </c>
      <c r="F556" s="2">
        <v>44287</v>
      </c>
      <c r="G556" s="3">
        <v>5</v>
      </c>
      <c r="H556" s="3">
        <v>3</v>
      </c>
      <c r="I556" s="3">
        <v>5</v>
      </c>
      <c r="J556" s="3">
        <v>5</v>
      </c>
      <c r="K556" s="3">
        <v>5</v>
      </c>
      <c r="L556" s="3">
        <v>5</v>
      </c>
      <c r="M556" s="3">
        <v>3</v>
      </c>
    </row>
    <row r="557" spans="1:13">
      <c r="A557" t="s">
        <v>94</v>
      </c>
      <c r="B557" t="s">
        <v>117</v>
      </c>
      <c r="C557" t="s">
        <v>572</v>
      </c>
      <c r="D557" t="s">
        <v>3</v>
      </c>
      <c r="E557" t="s">
        <v>146</v>
      </c>
      <c r="F557" s="2">
        <v>44593</v>
      </c>
      <c r="G557" s="3">
        <v>5</v>
      </c>
      <c r="H557" s="3">
        <v>3</v>
      </c>
      <c r="I557" s="3">
        <v>5</v>
      </c>
      <c r="J557" s="3">
        <v>5</v>
      </c>
      <c r="K557" s="3">
        <v>5</v>
      </c>
      <c r="L557" s="3">
        <v>5</v>
      </c>
      <c r="M557" s="3">
        <v>5</v>
      </c>
    </row>
    <row r="558" spans="1:13">
      <c r="A558" t="s">
        <v>91</v>
      </c>
      <c r="B558" t="s">
        <v>305</v>
      </c>
      <c r="C558" t="s">
        <v>198</v>
      </c>
      <c r="D558" t="s">
        <v>3</v>
      </c>
      <c r="E558" t="s">
        <v>175</v>
      </c>
      <c r="F558" s="2">
        <v>44348</v>
      </c>
      <c r="G558" s="3">
        <v>3</v>
      </c>
      <c r="H558" s="3">
        <v>3</v>
      </c>
      <c r="I558" s="3">
        <v>3</v>
      </c>
      <c r="J558" s="3">
        <v>3</v>
      </c>
      <c r="K558" s="3">
        <v>2</v>
      </c>
      <c r="L558" s="3">
        <v>3</v>
      </c>
      <c r="M558" s="3">
        <v>2</v>
      </c>
    </row>
    <row r="559" spans="1:13">
      <c r="A559" t="s">
        <v>98</v>
      </c>
      <c r="B559" t="s">
        <v>2</v>
      </c>
      <c r="C559" t="s">
        <v>198</v>
      </c>
      <c r="D559" t="s">
        <v>3</v>
      </c>
      <c r="E559" t="s">
        <v>23</v>
      </c>
      <c r="F559" s="2">
        <v>44200</v>
      </c>
      <c r="G559" s="3">
        <v>5</v>
      </c>
      <c r="H559" s="3">
        <v>5</v>
      </c>
      <c r="I559" s="3">
        <v>5</v>
      </c>
      <c r="J559" s="3">
        <v>5</v>
      </c>
      <c r="K559" s="3">
        <v>5</v>
      </c>
      <c r="L559" s="3">
        <v>5</v>
      </c>
      <c r="M559" s="3">
        <v>5</v>
      </c>
    </row>
    <row r="560" spans="1:13">
      <c r="A560" t="s">
        <v>31</v>
      </c>
      <c r="B560" t="s">
        <v>2</v>
      </c>
      <c r="C560" t="s">
        <v>198</v>
      </c>
      <c r="D560" t="s">
        <v>3</v>
      </c>
      <c r="E560" t="s">
        <v>306</v>
      </c>
      <c r="F560" s="2">
        <v>44355</v>
      </c>
      <c r="G560" s="3">
        <v>4</v>
      </c>
      <c r="H560" s="3">
        <v>4</v>
      </c>
      <c r="I560" s="3">
        <v>2</v>
      </c>
      <c r="J560" s="3">
        <v>2</v>
      </c>
      <c r="K560" s="3">
        <v>5</v>
      </c>
      <c r="L560" s="3">
        <v>2</v>
      </c>
      <c r="M560" s="3">
        <v>1</v>
      </c>
    </row>
    <row r="561" spans="1:13">
      <c r="A561" t="s">
        <v>1</v>
      </c>
      <c r="B561" t="s">
        <v>2</v>
      </c>
      <c r="C561" t="s">
        <v>198</v>
      </c>
      <c r="D561" t="s">
        <v>3</v>
      </c>
      <c r="E561" t="s">
        <v>4</v>
      </c>
      <c r="F561" s="2">
        <v>44658</v>
      </c>
      <c r="G561" s="3">
        <v>5</v>
      </c>
      <c r="H561" s="3">
        <v>5</v>
      </c>
      <c r="I561" s="3">
        <v>5</v>
      </c>
      <c r="J561" s="3">
        <v>5</v>
      </c>
      <c r="K561" s="3">
        <v>5</v>
      </c>
      <c r="L561" s="3">
        <v>5</v>
      </c>
      <c r="M561" s="3">
        <v>5</v>
      </c>
    </row>
    <row r="562" spans="1:13">
      <c r="A562" t="s">
        <v>307</v>
      </c>
      <c r="B562" t="s">
        <v>2</v>
      </c>
      <c r="C562" t="s">
        <v>198</v>
      </c>
      <c r="D562" t="s">
        <v>3</v>
      </c>
      <c r="E562" t="s">
        <v>199</v>
      </c>
      <c r="F562" s="2">
        <v>44415</v>
      </c>
      <c r="G562" s="3">
        <v>4</v>
      </c>
      <c r="H562" s="3">
        <v>4</v>
      </c>
      <c r="I562" s="3">
        <v>4</v>
      </c>
      <c r="J562" s="3">
        <v>4</v>
      </c>
      <c r="K562" s="3">
        <v>5</v>
      </c>
      <c r="L562" s="3">
        <v>4</v>
      </c>
      <c r="M562" s="3">
        <v>4</v>
      </c>
    </row>
    <row r="563" spans="1:13">
      <c r="A563" t="s">
        <v>671</v>
      </c>
      <c r="B563" t="s">
        <v>2</v>
      </c>
      <c r="C563" t="s">
        <v>198</v>
      </c>
      <c r="D563" t="s">
        <v>3</v>
      </c>
      <c r="E563" t="s">
        <v>558</v>
      </c>
      <c r="F563" s="2">
        <v>44295</v>
      </c>
      <c r="G563" s="3">
        <v>3</v>
      </c>
      <c r="H563" s="3">
        <v>5</v>
      </c>
      <c r="I563" s="3">
        <v>1</v>
      </c>
      <c r="J563" s="3">
        <v>1</v>
      </c>
      <c r="K563" s="3">
        <v>5</v>
      </c>
      <c r="L563" s="3">
        <v>2</v>
      </c>
      <c r="M563" s="3">
        <v>2</v>
      </c>
    </row>
    <row r="564" spans="1:13">
      <c r="A564" t="s">
        <v>308</v>
      </c>
      <c r="B564" t="s">
        <v>32</v>
      </c>
      <c r="C564" t="s">
        <v>567</v>
      </c>
      <c r="D564" t="s">
        <v>3</v>
      </c>
      <c r="E564" t="s">
        <v>17</v>
      </c>
      <c r="F564" s="2">
        <v>44317</v>
      </c>
      <c r="G564" s="3">
        <v>5</v>
      </c>
      <c r="H564" s="3">
        <v>5</v>
      </c>
      <c r="I564" s="3">
        <v>5</v>
      </c>
      <c r="J564" s="3">
        <v>5</v>
      </c>
      <c r="K564" s="3">
        <v>5</v>
      </c>
      <c r="L564" s="3">
        <v>5</v>
      </c>
      <c r="M564" s="3">
        <v>5</v>
      </c>
    </row>
    <row r="565" spans="1:13">
      <c r="A565" t="s">
        <v>77</v>
      </c>
      <c r="B565" t="s">
        <v>2</v>
      </c>
      <c r="C565" t="s">
        <v>198</v>
      </c>
      <c r="D565" t="s">
        <v>55</v>
      </c>
      <c r="E565" t="s">
        <v>61</v>
      </c>
      <c r="F565" s="2">
        <v>44203</v>
      </c>
      <c r="G565" s="3">
        <v>4</v>
      </c>
      <c r="H565" s="3">
        <v>3</v>
      </c>
      <c r="I565" s="3">
        <v>4</v>
      </c>
      <c r="J565" s="3">
        <v>3</v>
      </c>
      <c r="K565" s="3">
        <v>4</v>
      </c>
      <c r="L565" s="3">
        <v>3</v>
      </c>
      <c r="M565" s="3">
        <v>3</v>
      </c>
    </row>
    <row r="566" spans="1:13">
      <c r="A566" t="s">
        <v>1</v>
      </c>
      <c r="B566" t="s">
        <v>2</v>
      </c>
      <c r="C566" t="s">
        <v>198</v>
      </c>
      <c r="D566" t="s">
        <v>3</v>
      </c>
      <c r="E566" t="s">
        <v>12</v>
      </c>
      <c r="F566" s="2">
        <v>44263</v>
      </c>
      <c r="G566" s="3">
        <v>4</v>
      </c>
      <c r="H566" s="3">
        <v>2</v>
      </c>
      <c r="I566" s="3">
        <v>3</v>
      </c>
      <c r="J566" s="3">
        <v>2</v>
      </c>
      <c r="K566" s="3">
        <v>4</v>
      </c>
      <c r="L566" s="3">
        <v>4</v>
      </c>
      <c r="M566" s="3">
        <v>1</v>
      </c>
    </row>
    <row r="567" spans="1:13">
      <c r="A567" t="s">
        <v>7</v>
      </c>
      <c r="B567" t="s">
        <v>213</v>
      </c>
      <c r="C567" t="s">
        <v>198</v>
      </c>
      <c r="D567" t="s">
        <v>3</v>
      </c>
      <c r="E567" t="s">
        <v>638</v>
      </c>
      <c r="F567" s="2">
        <v>44203</v>
      </c>
      <c r="G567" s="3">
        <v>4</v>
      </c>
      <c r="H567" s="3">
        <v>4</v>
      </c>
      <c r="I567" s="3">
        <v>4</v>
      </c>
      <c r="J567" s="3">
        <v>3</v>
      </c>
      <c r="K567" s="3">
        <v>4</v>
      </c>
      <c r="L567" s="3">
        <v>4</v>
      </c>
      <c r="M567" s="3">
        <v>4</v>
      </c>
    </row>
    <row r="568" spans="1:13">
      <c r="A568" t="s">
        <v>672</v>
      </c>
      <c r="B568" t="s">
        <v>243</v>
      </c>
      <c r="C568" t="str" cm="1">
        <f t="array" ref="C568">_xlfn.IFS(B568="Neemrana","Rajasthan",B568="Tadepalligudem","Andhra Pradesh",B568="Kolkata","West Bengal",B568="Unknown","Unknown",B568="Andheri East,Chakala","Mumbai",B568="Ahmadnagar","Maharastra",B568="Sri City","Andhra Pradesh",B568="Gurgaon","Haryana",B568="Ahmedbad","Gujarat",B568="Jaipur","Rajasthan",B568="Chennai","Tamil Nadu")</f>
        <v>Haryana</v>
      </c>
      <c r="D568" t="s">
        <v>3</v>
      </c>
      <c r="E568" t="s">
        <v>558</v>
      </c>
      <c r="F568" s="2">
        <v>44782</v>
      </c>
      <c r="G568" s="3">
        <v>4</v>
      </c>
      <c r="H568" s="3">
        <v>4</v>
      </c>
      <c r="I568" s="3">
        <v>4</v>
      </c>
      <c r="J568" s="3">
        <v>3</v>
      </c>
      <c r="K568" s="3">
        <v>5</v>
      </c>
      <c r="L568" s="3">
        <v>4</v>
      </c>
      <c r="M568" s="3">
        <v>3</v>
      </c>
    </row>
    <row r="569" spans="1:13">
      <c r="A569" t="s">
        <v>309</v>
      </c>
      <c r="B569" t="s">
        <v>50</v>
      </c>
      <c r="C569" t="s">
        <v>50</v>
      </c>
      <c r="D569" t="s">
        <v>3</v>
      </c>
      <c r="E569" t="s">
        <v>43</v>
      </c>
      <c r="F569" s="2">
        <v>44231</v>
      </c>
      <c r="G569" s="3">
        <v>5</v>
      </c>
      <c r="H569" s="3">
        <v>5</v>
      </c>
      <c r="I569" s="3">
        <v>5</v>
      </c>
      <c r="J569" s="3">
        <v>5</v>
      </c>
      <c r="K569" s="3">
        <v>5</v>
      </c>
      <c r="L569" s="3">
        <v>5</v>
      </c>
      <c r="M569" s="3">
        <v>4</v>
      </c>
    </row>
    <row r="570" spans="1:13">
      <c r="A570" t="s">
        <v>535</v>
      </c>
      <c r="B570" t="s">
        <v>195</v>
      </c>
      <c r="C570" t="s">
        <v>569</v>
      </c>
      <c r="D570" t="s">
        <v>3</v>
      </c>
      <c r="E570" t="s">
        <v>66</v>
      </c>
      <c r="F570" s="2">
        <v>44229</v>
      </c>
      <c r="G570" s="3">
        <v>3</v>
      </c>
      <c r="H570" s="3">
        <v>3</v>
      </c>
      <c r="I570" s="3">
        <v>4</v>
      </c>
      <c r="J570" s="3">
        <v>3</v>
      </c>
      <c r="K570" s="3">
        <v>3</v>
      </c>
      <c r="L570" s="3">
        <v>4</v>
      </c>
      <c r="M570" s="3">
        <v>4</v>
      </c>
    </row>
    <row r="571" spans="1:13">
      <c r="A571" t="s">
        <v>40</v>
      </c>
      <c r="B571" t="s">
        <v>50</v>
      </c>
      <c r="C571" t="s">
        <v>50</v>
      </c>
      <c r="D571" t="s">
        <v>3</v>
      </c>
      <c r="E571" t="s">
        <v>310</v>
      </c>
      <c r="F571" s="2">
        <v>44325</v>
      </c>
      <c r="G571" s="3">
        <v>5</v>
      </c>
      <c r="H571" s="3">
        <v>5</v>
      </c>
      <c r="I571" s="3">
        <v>5</v>
      </c>
      <c r="J571" s="3">
        <v>5</v>
      </c>
      <c r="K571" s="3">
        <v>5</v>
      </c>
      <c r="L571" s="3">
        <v>5</v>
      </c>
      <c r="M571" s="3">
        <v>5</v>
      </c>
    </row>
    <row r="572" spans="1:13">
      <c r="A572" t="s">
        <v>124</v>
      </c>
      <c r="B572" t="s">
        <v>2</v>
      </c>
      <c r="C572" t="s">
        <v>198</v>
      </c>
      <c r="D572" t="s">
        <v>3</v>
      </c>
      <c r="E572" t="s">
        <v>139</v>
      </c>
      <c r="F572" s="2">
        <v>44110</v>
      </c>
      <c r="G572" s="3">
        <v>3</v>
      </c>
      <c r="H572" s="3">
        <v>4</v>
      </c>
      <c r="I572" s="3">
        <v>3</v>
      </c>
      <c r="J572" s="3">
        <v>4</v>
      </c>
      <c r="K572" s="3">
        <v>5</v>
      </c>
      <c r="L572" s="3">
        <v>4</v>
      </c>
      <c r="M572" s="3">
        <v>5</v>
      </c>
    </row>
    <row r="573" spans="1:13">
      <c r="A573" t="s">
        <v>153</v>
      </c>
      <c r="B573" t="s">
        <v>213</v>
      </c>
      <c r="C573" t="s">
        <v>198</v>
      </c>
      <c r="D573" t="s">
        <v>3</v>
      </c>
      <c r="E573" t="s">
        <v>23</v>
      </c>
      <c r="F573" s="2">
        <v>44287</v>
      </c>
      <c r="G573" s="3">
        <v>5</v>
      </c>
      <c r="H573" s="3">
        <v>5</v>
      </c>
      <c r="I573" s="3">
        <v>5</v>
      </c>
      <c r="J573" s="3">
        <v>4</v>
      </c>
      <c r="K573" s="3">
        <v>4</v>
      </c>
      <c r="L573" s="3">
        <v>4</v>
      </c>
      <c r="M573" s="3">
        <v>4</v>
      </c>
    </row>
    <row r="574" spans="1:13">
      <c r="A574" t="s">
        <v>295</v>
      </c>
      <c r="B574" t="s">
        <v>311</v>
      </c>
      <c r="C574" t="s">
        <v>311</v>
      </c>
      <c r="D574" t="s">
        <v>3</v>
      </c>
      <c r="E574" t="s">
        <v>312</v>
      </c>
      <c r="F574" s="2">
        <v>44287</v>
      </c>
      <c r="G574" s="3">
        <v>5</v>
      </c>
      <c r="H574" s="3">
        <v>5</v>
      </c>
      <c r="I574" s="3">
        <v>5</v>
      </c>
      <c r="J574" s="3">
        <v>5</v>
      </c>
      <c r="K574" s="3">
        <v>5</v>
      </c>
      <c r="L574" s="3">
        <v>5</v>
      </c>
      <c r="M574" s="3">
        <v>5</v>
      </c>
    </row>
    <row r="575" spans="1:13">
      <c r="A575" t="s">
        <v>88</v>
      </c>
      <c r="B575" t="s">
        <v>286</v>
      </c>
      <c r="C575" t="s">
        <v>198</v>
      </c>
      <c r="D575" t="s">
        <v>3</v>
      </c>
      <c r="E575" t="s">
        <v>26</v>
      </c>
      <c r="F575" s="2">
        <v>44204</v>
      </c>
      <c r="G575" s="3">
        <v>4</v>
      </c>
      <c r="H575" s="3">
        <v>4</v>
      </c>
      <c r="I575" s="3">
        <v>5</v>
      </c>
      <c r="J575" s="3">
        <v>5</v>
      </c>
      <c r="K575" s="3">
        <v>5</v>
      </c>
      <c r="L575" s="3">
        <v>4</v>
      </c>
      <c r="M575" s="3">
        <v>4</v>
      </c>
    </row>
    <row r="576" spans="1:13">
      <c r="A576" t="s">
        <v>105</v>
      </c>
      <c r="B576" t="s">
        <v>2</v>
      </c>
      <c r="C576" t="s">
        <v>198</v>
      </c>
      <c r="D576" t="s">
        <v>3</v>
      </c>
      <c r="E576" t="s">
        <v>313</v>
      </c>
      <c r="F576" s="2">
        <v>44290</v>
      </c>
      <c r="G576" s="3">
        <v>5</v>
      </c>
      <c r="H576" s="3">
        <v>4</v>
      </c>
      <c r="I576" s="3">
        <v>4</v>
      </c>
      <c r="J576" s="3">
        <v>4</v>
      </c>
      <c r="K576" s="3">
        <v>4</v>
      </c>
      <c r="L576" s="3">
        <v>4</v>
      </c>
      <c r="M576" s="3">
        <v>4</v>
      </c>
    </row>
    <row r="577" spans="1:13">
      <c r="A577" t="s">
        <v>314</v>
      </c>
      <c r="B577" t="s">
        <v>304</v>
      </c>
      <c r="C577" t="s">
        <v>579</v>
      </c>
      <c r="D577" t="s">
        <v>3</v>
      </c>
      <c r="E577" t="s">
        <v>627</v>
      </c>
      <c r="F577" s="2">
        <v>44294</v>
      </c>
      <c r="G577" s="3">
        <v>5</v>
      </c>
      <c r="H577" s="3">
        <v>5</v>
      </c>
      <c r="I577" s="3">
        <v>5</v>
      </c>
      <c r="J577" s="3">
        <v>4</v>
      </c>
      <c r="K577" s="3">
        <v>3</v>
      </c>
      <c r="L577" s="3">
        <v>5</v>
      </c>
      <c r="M577" s="3">
        <v>4</v>
      </c>
    </row>
    <row r="578" spans="1:13">
      <c r="A578" t="s">
        <v>1</v>
      </c>
      <c r="B578" t="s">
        <v>2</v>
      </c>
      <c r="C578" t="s">
        <v>198</v>
      </c>
      <c r="D578" t="s">
        <v>3</v>
      </c>
      <c r="E578" t="s">
        <v>4</v>
      </c>
      <c r="F578" s="2">
        <v>44352</v>
      </c>
      <c r="G578" s="3">
        <v>4</v>
      </c>
      <c r="H578" s="3">
        <v>3</v>
      </c>
      <c r="I578" s="3">
        <v>4</v>
      </c>
      <c r="J578" s="3">
        <v>2</v>
      </c>
      <c r="K578" s="3">
        <v>5</v>
      </c>
      <c r="L578" s="3">
        <v>5</v>
      </c>
      <c r="M578" s="3">
        <v>4</v>
      </c>
    </row>
    <row r="579" spans="1:13">
      <c r="A579" t="s">
        <v>294</v>
      </c>
      <c r="B579" t="s">
        <v>2</v>
      </c>
      <c r="C579" t="s">
        <v>198</v>
      </c>
      <c r="D579" t="s">
        <v>3</v>
      </c>
      <c r="E579" t="s">
        <v>4</v>
      </c>
      <c r="F579" s="2">
        <v>44257</v>
      </c>
      <c r="G579" s="3">
        <v>5</v>
      </c>
      <c r="H579" s="3">
        <v>4</v>
      </c>
      <c r="I579" s="3">
        <v>5</v>
      </c>
      <c r="J579" s="3">
        <v>3</v>
      </c>
      <c r="K579" s="3">
        <v>5</v>
      </c>
      <c r="L579" s="3">
        <v>4</v>
      </c>
      <c r="M579" s="3">
        <v>4</v>
      </c>
    </row>
    <row r="580" spans="1:13">
      <c r="A580" t="s">
        <v>77</v>
      </c>
      <c r="B580" t="s">
        <v>243</v>
      </c>
      <c r="C580" t="str" cm="1">
        <f t="array" ref="C580">_xlfn.IFS(B580="Neemrana","Rajasthan",B580="Tadepalligudem","Andhra Pradesh",B580="Kolkata","West Bengal",B580="Unknown","Unknown",B580="Andheri East,Chakala","Mumbai",B580="Ahmadnagar","Maharastra",B580="Sri City","Andhra Pradesh",B580="Gurgaon","Haryana",B580="Ahmedbad","Gujarat",B580="Jaipur","Rajasthan",B580="Chennai","Tamil Nadu")</f>
        <v>Haryana</v>
      </c>
      <c r="D580" t="s">
        <v>55</v>
      </c>
      <c r="E580" t="s">
        <v>558</v>
      </c>
      <c r="F580" s="2">
        <v>44324</v>
      </c>
      <c r="G580" s="3">
        <v>4</v>
      </c>
      <c r="H580" s="3">
        <v>2</v>
      </c>
      <c r="I580" s="3">
        <v>4</v>
      </c>
      <c r="J580" s="3">
        <v>3</v>
      </c>
      <c r="K580" s="3">
        <v>5</v>
      </c>
      <c r="L580" s="3">
        <v>5</v>
      </c>
      <c r="M580" s="3">
        <v>5</v>
      </c>
    </row>
    <row r="581" spans="1:13">
      <c r="A581" t="s">
        <v>1</v>
      </c>
      <c r="B581" t="s">
        <v>2</v>
      </c>
      <c r="C581" t="s">
        <v>198</v>
      </c>
      <c r="D581" t="s">
        <v>3</v>
      </c>
      <c r="E581" t="s">
        <v>4</v>
      </c>
      <c r="F581" s="2">
        <v>44256</v>
      </c>
      <c r="G581" s="3">
        <v>3</v>
      </c>
      <c r="H581" s="3">
        <v>3</v>
      </c>
      <c r="I581" s="3">
        <v>4</v>
      </c>
      <c r="J581" s="3">
        <v>3</v>
      </c>
      <c r="K581" s="3">
        <v>4</v>
      </c>
      <c r="L581" s="3">
        <v>4</v>
      </c>
      <c r="M581" s="3">
        <v>3</v>
      </c>
    </row>
    <row r="582" spans="1:13">
      <c r="A582" t="s">
        <v>77</v>
      </c>
      <c r="B582" t="s">
        <v>286</v>
      </c>
      <c r="C582" t="s">
        <v>198</v>
      </c>
      <c r="D582" t="s">
        <v>55</v>
      </c>
      <c r="E582" t="s">
        <v>139</v>
      </c>
      <c r="F582" s="2">
        <v>44264</v>
      </c>
      <c r="G582" s="3">
        <v>4</v>
      </c>
      <c r="H582" s="3">
        <v>4</v>
      </c>
      <c r="I582" s="3">
        <v>5</v>
      </c>
      <c r="J582" s="3">
        <v>4</v>
      </c>
      <c r="K582" s="3">
        <v>4</v>
      </c>
      <c r="L582" s="3">
        <v>4</v>
      </c>
      <c r="M582" s="3">
        <v>5</v>
      </c>
    </row>
    <row r="583" spans="1:13">
      <c r="A583" t="s">
        <v>77</v>
      </c>
      <c r="B583" t="s">
        <v>2</v>
      </c>
      <c r="C583" t="s">
        <v>198</v>
      </c>
      <c r="D583" t="s">
        <v>55</v>
      </c>
      <c r="E583" t="s">
        <v>4</v>
      </c>
      <c r="F583" s="2">
        <v>44108</v>
      </c>
      <c r="G583" s="3">
        <v>4</v>
      </c>
      <c r="H583" s="3">
        <v>4</v>
      </c>
      <c r="I583" s="3">
        <v>5</v>
      </c>
      <c r="J583" s="3">
        <v>4</v>
      </c>
      <c r="K583" s="3">
        <v>5</v>
      </c>
      <c r="L583" s="3">
        <v>5</v>
      </c>
      <c r="M583" s="3">
        <v>5</v>
      </c>
    </row>
    <row r="584" spans="1:13">
      <c r="A584" t="s">
        <v>105</v>
      </c>
      <c r="B584" t="s">
        <v>2</v>
      </c>
      <c r="C584" t="s">
        <v>198</v>
      </c>
      <c r="D584" t="s">
        <v>3</v>
      </c>
      <c r="E584" t="s">
        <v>558</v>
      </c>
      <c r="F584" s="2">
        <v>44106</v>
      </c>
      <c r="G584" s="3">
        <v>4</v>
      </c>
      <c r="H584" s="3">
        <v>3</v>
      </c>
      <c r="I584" s="3">
        <v>3</v>
      </c>
      <c r="J584" s="3">
        <v>3</v>
      </c>
      <c r="K584" s="3">
        <v>5</v>
      </c>
      <c r="L584" s="3">
        <v>4</v>
      </c>
      <c r="M584" s="3">
        <v>3</v>
      </c>
    </row>
    <row r="585" spans="1:13">
      <c r="A585" t="s">
        <v>171</v>
      </c>
      <c r="B585" t="s">
        <v>2</v>
      </c>
      <c r="C585" t="s">
        <v>198</v>
      </c>
      <c r="D585" t="s">
        <v>3</v>
      </c>
      <c r="E585" t="s">
        <v>59</v>
      </c>
      <c r="F585" s="2">
        <v>44205</v>
      </c>
      <c r="G585" s="3">
        <v>5</v>
      </c>
      <c r="H585" s="3">
        <v>5</v>
      </c>
      <c r="I585" s="3">
        <v>5</v>
      </c>
      <c r="J585" s="3">
        <v>5</v>
      </c>
      <c r="K585" s="3">
        <v>3</v>
      </c>
      <c r="L585" s="3">
        <v>5</v>
      </c>
      <c r="M585" s="3">
        <v>2</v>
      </c>
    </row>
    <row r="586" spans="1:13">
      <c r="A586" t="s">
        <v>535</v>
      </c>
      <c r="B586" t="s">
        <v>576</v>
      </c>
      <c r="C586" t="s">
        <v>569</v>
      </c>
      <c r="D586" t="s">
        <v>3</v>
      </c>
      <c r="E586" t="s">
        <v>315</v>
      </c>
      <c r="F586" s="2">
        <v>44353</v>
      </c>
      <c r="G586" s="3">
        <v>5</v>
      </c>
      <c r="H586" s="3">
        <v>3</v>
      </c>
      <c r="I586" s="3">
        <v>5</v>
      </c>
      <c r="J586" s="3">
        <v>5</v>
      </c>
      <c r="K586" s="3">
        <v>3</v>
      </c>
      <c r="L586" s="3">
        <v>5</v>
      </c>
      <c r="M586" s="3">
        <v>3</v>
      </c>
    </row>
    <row r="587" spans="1:13">
      <c r="A587" t="s">
        <v>673</v>
      </c>
      <c r="B587" t="s">
        <v>243</v>
      </c>
      <c r="C587" t="str" cm="1">
        <f t="array" ref="C587">_xlfn.IFS(B587="Neemrana","Rajasthan",B587="Tadepalligudem","Andhra Pradesh",B587="Kolkata","West Bengal",B587="Unknown","Unknown",B587="Andheri East,Chakala","Mumbai",B587="Ahmadnagar","Maharastra",B587="Sri City","Andhra Pradesh",B587="Gurgaon","Haryana",B587="Ahmedbad","Gujarat",B587="Jaipur","Rajasthan",B587="Chennai","Tamil Nadu")</f>
        <v>Haryana</v>
      </c>
      <c r="D587" t="s">
        <v>3</v>
      </c>
      <c r="E587" t="s">
        <v>205</v>
      </c>
      <c r="F587" s="2">
        <v>44232</v>
      </c>
      <c r="G587" s="3">
        <v>5</v>
      </c>
      <c r="H587" s="3">
        <v>4</v>
      </c>
      <c r="I587" s="3">
        <v>4</v>
      </c>
      <c r="J587" s="3">
        <v>4</v>
      </c>
      <c r="K587" s="3">
        <v>4</v>
      </c>
      <c r="L587" s="3">
        <v>4</v>
      </c>
      <c r="M587" s="3">
        <v>4</v>
      </c>
    </row>
    <row r="588" spans="1:13">
      <c r="A588" t="s">
        <v>316</v>
      </c>
      <c r="B588" t="s">
        <v>206</v>
      </c>
      <c r="C588" t="s">
        <v>569</v>
      </c>
      <c r="D588" t="s">
        <v>3</v>
      </c>
      <c r="E588" t="s">
        <v>558</v>
      </c>
      <c r="F588" s="2">
        <v>44232</v>
      </c>
      <c r="G588" s="3">
        <v>2</v>
      </c>
      <c r="H588" s="3">
        <v>3</v>
      </c>
      <c r="I588" s="3">
        <v>5</v>
      </c>
      <c r="J588" s="3">
        <v>2</v>
      </c>
      <c r="K588" s="3">
        <v>1</v>
      </c>
      <c r="L588" s="3">
        <v>2</v>
      </c>
      <c r="M588" s="3">
        <v>1</v>
      </c>
    </row>
    <row r="589" spans="1:13">
      <c r="A589" t="s">
        <v>105</v>
      </c>
      <c r="B589" t="s">
        <v>2</v>
      </c>
      <c r="C589" t="s">
        <v>198</v>
      </c>
      <c r="D589" t="s">
        <v>3</v>
      </c>
      <c r="E589" t="s">
        <v>317</v>
      </c>
      <c r="F589" s="2">
        <v>44290</v>
      </c>
      <c r="G589" s="3">
        <v>4</v>
      </c>
      <c r="H589" s="3">
        <v>4</v>
      </c>
      <c r="I589" s="3">
        <v>4</v>
      </c>
      <c r="J589" s="3">
        <v>4</v>
      </c>
      <c r="K589" s="3">
        <v>4</v>
      </c>
      <c r="L589" s="3">
        <v>4</v>
      </c>
      <c r="M589" s="3">
        <v>4</v>
      </c>
    </row>
    <row r="590" spans="1:13">
      <c r="A590" t="s">
        <v>31</v>
      </c>
      <c r="B590" t="s">
        <v>286</v>
      </c>
      <c r="C590" t="s">
        <v>198</v>
      </c>
      <c r="D590" t="s">
        <v>3</v>
      </c>
      <c r="E590" t="s">
        <v>23</v>
      </c>
      <c r="F590" s="2">
        <v>44046</v>
      </c>
      <c r="G590" s="3">
        <v>5</v>
      </c>
      <c r="H590" s="3">
        <v>5</v>
      </c>
      <c r="I590" s="3">
        <v>5</v>
      </c>
      <c r="J590" s="3">
        <v>3</v>
      </c>
      <c r="K590" s="3">
        <v>4</v>
      </c>
      <c r="L590" s="3">
        <v>4</v>
      </c>
      <c r="M590" s="3">
        <v>3</v>
      </c>
    </row>
    <row r="591" spans="1:13">
      <c r="A591" t="s">
        <v>674</v>
      </c>
      <c r="B591" t="s">
        <v>558</v>
      </c>
      <c r="C591" t="s">
        <v>558</v>
      </c>
      <c r="D591" t="s">
        <v>3</v>
      </c>
      <c r="E591" t="s">
        <v>26</v>
      </c>
      <c r="F591" s="2">
        <v>43654</v>
      </c>
      <c r="G591" s="3">
        <v>5</v>
      </c>
      <c r="H591" s="3">
        <v>5</v>
      </c>
      <c r="I591" s="3">
        <v>5</v>
      </c>
      <c r="J591" s="3">
        <v>5</v>
      </c>
      <c r="K591" s="3">
        <v>5</v>
      </c>
      <c r="L591" s="3">
        <v>5</v>
      </c>
      <c r="M591" s="3">
        <v>5</v>
      </c>
    </row>
    <row r="592" spans="1:13">
      <c r="A592" t="s">
        <v>40</v>
      </c>
      <c r="B592" t="s">
        <v>318</v>
      </c>
      <c r="C592" t="s">
        <v>358</v>
      </c>
      <c r="D592" t="s">
        <v>3</v>
      </c>
      <c r="E592" t="s">
        <v>638</v>
      </c>
      <c r="F592" s="2">
        <v>44198</v>
      </c>
      <c r="G592" s="3">
        <v>5</v>
      </c>
      <c r="H592" s="3">
        <v>5</v>
      </c>
      <c r="I592" s="3">
        <v>5</v>
      </c>
      <c r="J592" s="3">
        <v>5</v>
      </c>
      <c r="K592" s="3">
        <v>5</v>
      </c>
      <c r="L592" s="3">
        <v>5</v>
      </c>
      <c r="M592" s="3">
        <v>5</v>
      </c>
    </row>
    <row r="593" spans="1:13">
      <c r="A593" t="s">
        <v>319</v>
      </c>
      <c r="B593" t="s">
        <v>2</v>
      </c>
      <c r="C593" t="s">
        <v>198</v>
      </c>
      <c r="D593" t="s">
        <v>3</v>
      </c>
      <c r="E593" t="s">
        <v>139</v>
      </c>
      <c r="F593" s="2">
        <v>44294</v>
      </c>
      <c r="G593" s="3">
        <v>4</v>
      </c>
      <c r="H593" s="3">
        <v>3</v>
      </c>
      <c r="I593" s="3">
        <v>5</v>
      </c>
      <c r="J593" s="3">
        <v>3</v>
      </c>
      <c r="K593" s="3">
        <v>5</v>
      </c>
      <c r="L593" s="3">
        <v>3</v>
      </c>
      <c r="M593" s="3">
        <v>4</v>
      </c>
    </row>
    <row r="594" spans="1:13">
      <c r="A594" t="s">
        <v>76</v>
      </c>
      <c r="B594" t="s">
        <v>117</v>
      </c>
      <c r="C594" t="s">
        <v>572</v>
      </c>
      <c r="D594" t="s">
        <v>55</v>
      </c>
      <c r="E594" t="s">
        <v>558</v>
      </c>
      <c r="F594" s="2">
        <v>44509</v>
      </c>
      <c r="G594" s="3">
        <v>1</v>
      </c>
      <c r="H594" s="3">
        <v>4</v>
      </c>
      <c r="I594" s="3">
        <v>3</v>
      </c>
      <c r="J594" s="3">
        <v>4</v>
      </c>
      <c r="K594" s="3">
        <v>5</v>
      </c>
      <c r="L594" s="3">
        <v>3</v>
      </c>
      <c r="M594" s="3">
        <v>4</v>
      </c>
    </row>
    <row r="595" spans="1:13">
      <c r="A595" t="s">
        <v>320</v>
      </c>
      <c r="B595" t="s">
        <v>82</v>
      </c>
      <c r="C595" t="s">
        <v>566</v>
      </c>
      <c r="D595" t="s">
        <v>3</v>
      </c>
      <c r="E595" t="s">
        <v>162</v>
      </c>
      <c r="F595" s="2">
        <v>43559</v>
      </c>
      <c r="G595" s="3">
        <v>1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  <c r="M595" s="3">
        <v>1</v>
      </c>
    </row>
    <row r="596" spans="1:13">
      <c r="A596" t="s">
        <v>28</v>
      </c>
      <c r="B596" t="s">
        <v>321</v>
      </c>
      <c r="C596" t="s">
        <v>587</v>
      </c>
      <c r="D596" t="s">
        <v>3</v>
      </c>
      <c r="E596" t="s">
        <v>619</v>
      </c>
      <c r="F596" s="2">
        <v>44318</v>
      </c>
      <c r="G596" s="3">
        <v>3</v>
      </c>
      <c r="H596" s="3">
        <v>1</v>
      </c>
      <c r="I596" s="3">
        <v>1</v>
      </c>
      <c r="J596" s="3">
        <v>2</v>
      </c>
      <c r="K596" s="3">
        <v>1</v>
      </c>
      <c r="L596" s="3">
        <v>1</v>
      </c>
      <c r="M596" s="3">
        <v>1</v>
      </c>
    </row>
    <row r="597" spans="1:13">
      <c r="A597" t="s">
        <v>31</v>
      </c>
      <c r="B597" t="s">
        <v>2</v>
      </c>
      <c r="C597" t="s">
        <v>198</v>
      </c>
      <c r="D597" t="s">
        <v>3</v>
      </c>
      <c r="E597" t="s">
        <v>26</v>
      </c>
      <c r="F597" s="2">
        <v>44257</v>
      </c>
      <c r="G597" s="3">
        <v>5</v>
      </c>
      <c r="H597" s="3">
        <v>3</v>
      </c>
      <c r="I597" s="3">
        <v>4</v>
      </c>
      <c r="J597" s="3">
        <v>4</v>
      </c>
      <c r="K597" s="3">
        <v>3</v>
      </c>
      <c r="L597" s="3">
        <v>3</v>
      </c>
      <c r="M597" s="3">
        <v>4</v>
      </c>
    </row>
    <row r="598" spans="1:13">
      <c r="A598" t="s">
        <v>323</v>
      </c>
      <c r="B598" t="s">
        <v>50</v>
      </c>
      <c r="C598" t="s">
        <v>50</v>
      </c>
      <c r="D598" t="s">
        <v>3</v>
      </c>
      <c r="E598" t="s">
        <v>14</v>
      </c>
      <c r="F598" s="2">
        <v>43989</v>
      </c>
      <c r="G598" s="3">
        <v>4</v>
      </c>
      <c r="H598" s="3">
        <v>4</v>
      </c>
      <c r="I598" s="3">
        <v>4</v>
      </c>
      <c r="J598" s="3">
        <v>4</v>
      </c>
      <c r="K598" s="3">
        <v>5</v>
      </c>
      <c r="L598" s="3">
        <v>3</v>
      </c>
      <c r="M598" s="3">
        <v>3</v>
      </c>
    </row>
    <row r="599" spans="1:13">
      <c r="A599" t="s">
        <v>366</v>
      </c>
      <c r="B599" t="s">
        <v>2</v>
      </c>
      <c r="C599" t="s">
        <v>198</v>
      </c>
      <c r="D599" t="s">
        <v>3</v>
      </c>
      <c r="E599" t="s">
        <v>558</v>
      </c>
      <c r="F599" s="2">
        <v>44689</v>
      </c>
      <c r="G599" s="3">
        <v>1</v>
      </c>
      <c r="H599" s="3">
        <v>2</v>
      </c>
      <c r="I599" s="3">
        <v>1</v>
      </c>
      <c r="J599" s="3">
        <v>2</v>
      </c>
      <c r="K599" s="3">
        <v>2</v>
      </c>
      <c r="L599" s="3">
        <v>1</v>
      </c>
      <c r="M599" s="3">
        <v>2</v>
      </c>
    </row>
    <row r="600" spans="1:13">
      <c r="A600" t="s">
        <v>324</v>
      </c>
      <c r="B600" t="s">
        <v>524</v>
      </c>
      <c r="C600" t="s">
        <v>580</v>
      </c>
      <c r="D600" t="s">
        <v>3</v>
      </c>
      <c r="E600" t="s">
        <v>312</v>
      </c>
      <c r="F600" s="2">
        <v>44687</v>
      </c>
      <c r="G600" s="3">
        <v>2</v>
      </c>
      <c r="H600" s="3">
        <v>3</v>
      </c>
      <c r="I600" s="3">
        <v>1</v>
      </c>
      <c r="J600" s="3">
        <v>2</v>
      </c>
      <c r="K600" s="3">
        <v>1</v>
      </c>
      <c r="L600" s="3">
        <v>4</v>
      </c>
      <c r="M600" s="3">
        <v>1</v>
      </c>
    </row>
    <row r="601" spans="1:13">
      <c r="A601" t="s">
        <v>676</v>
      </c>
      <c r="B601" t="s">
        <v>325</v>
      </c>
      <c r="C601" t="s">
        <v>579</v>
      </c>
      <c r="D601" t="s">
        <v>3</v>
      </c>
      <c r="E601" t="s">
        <v>4</v>
      </c>
      <c r="F601" s="2">
        <v>44262</v>
      </c>
      <c r="G601" s="3">
        <v>3</v>
      </c>
      <c r="H601" s="3">
        <v>4</v>
      </c>
      <c r="I601" s="3">
        <v>3</v>
      </c>
      <c r="J601" s="3">
        <v>5</v>
      </c>
      <c r="K601" s="3">
        <v>5</v>
      </c>
      <c r="L601" s="3">
        <v>3</v>
      </c>
      <c r="M601" s="3">
        <v>3</v>
      </c>
    </row>
    <row r="602" spans="1:13">
      <c r="A602" t="s">
        <v>209</v>
      </c>
      <c r="B602" t="s">
        <v>50</v>
      </c>
      <c r="C602" t="s">
        <v>50</v>
      </c>
      <c r="D602" t="s">
        <v>3</v>
      </c>
      <c r="E602" t="s">
        <v>46</v>
      </c>
      <c r="F602" s="2">
        <v>44379</v>
      </c>
      <c r="G602" s="3">
        <v>3</v>
      </c>
      <c r="H602" s="3">
        <v>1</v>
      </c>
      <c r="I602" s="3">
        <v>1</v>
      </c>
      <c r="J602" s="3">
        <v>1</v>
      </c>
      <c r="K602" s="3">
        <v>1</v>
      </c>
      <c r="L602" s="3">
        <v>3</v>
      </c>
      <c r="M602" s="3">
        <v>1</v>
      </c>
    </row>
    <row r="603" spans="1:13">
      <c r="A603" t="s">
        <v>245</v>
      </c>
      <c r="B603" t="s">
        <v>8</v>
      </c>
      <c r="C603" t="s">
        <v>570</v>
      </c>
      <c r="D603" t="s">
        <v>3</v>
      </c>
      <c r="E603" t="s">
        <v>326</v>
      </c>
      <c r="F603" s="2">
        <v>44200</v>
      </c>
      <c r="G603" s="3">
        <v>5</v>
      </c>
      <c r="H603" s="3">
        <v>2</v>
      </c>
      <c r="I603" s="3">
        <v>3</v>
      </c>
      <c r="J603" s="3">
        <v>1</v>
      </c>
      <c r="K603" s="3">
        <v>3</v>
      </c>
      <c r="L603" s="3">
        <v>3</v>
      </c>
      <c r="M603" s="3">
        <v>1</v>
      </c>
    </row>
    <row r="604" spans="1:13">
      <c r="A604" t="s">
        <v>675</v>
      </c>
      <c r="B604" t="s">
        <v>327</v>
      </c>
      <c r="C604" t="s">
        <v>572</v>
      </c>
      <c r="D604" t="s">
        <v>3</v>
      </c>
      <c r="E604" t="s">
        <v>328</v>
      </c>
      <c r="F604" s="2">
        <v>44261</v>
      </c>
      <c r="G604" s="3">
        <v>2</v>
      </c>
      <c r="H604" s="3">
        <v>2</v>
      </c>
      <c r="I604" s="3">
        <v>2</v>
      </c>
      <c r="J604" s="3">
        <v>1</v>
      </c>
      <c r="K604" s="3">
        <v>1</v>
      </c>
      <c r="L604" s="3">
        <v>1</v>
      </c>
      <c r="M604" s="3">
        <v>1</v>
      </c>
    </row>
    <row r="605" spans="1:13">
      <c r="A605" t="s">
        <v>329</v>
      </c>
      <c r="B605" t="s">
        <v>39</v>
      </c>
      <c r="C605" t="s">
        <v>358</v>
      </c>
      <c r="D605" t="s">
        <v>3</v>
      </c>
      <c r="E605" t="s">
        <v>627</v>
      </c>
      <c r="F605" s="2">
        <v>44263</v>
      </c>
      <c r="G605" s="3">
        <v>5</v>
      </c>
      <c r="H605" s="3">
        <v>5</v>
      </c>
      <c r="I605" s="3">
        <v>5</v>
      </c>
      <c r="J605" s="3">
        <v>5</v>
      </c>
      <c r="K605" s="3">
        <v>5</v>
      </c>
      <c r="L605" s="3">
        <v>5</v>
      </c>
      <c r="M605" s="3">
        <v>5</v>
      </c>
    </row>
    <row r="606" spans="1:13">
      <c r="A606" t="s">
        <v>330</v>
      </c>
      <c r="B606" t="s">
        <v>2</v>
      </c>
      <c r="C606" t="s">
        <v>516</v>
      </c>
      <c r="D606" t="s">
        <v>3</v>
      </c>
      <c r="E606" t="s">
        <v>12</v>
      </c>
      <c r="F606" s="2">
        <v>44166</v>
      </c>
      <c r="G606" s="3">
        <v>5</v>
      </c>
      <c r="H606" s="3">
        <v>4</v>
      </c>
      <c r="I606" s="3">
        <v>4</v>
      </c>
      <c r="J606" s="3">
        <v>4</v>
      </c>
      <c r="K606" s="3">
        <v>5</v>
      </c>
      <c r="L606" s="3">
        <v>5</v>
      </c>
      <c r="M606" s="3">
        <v>4</v>
      </c>
    </row>
    <row r="607" spans="1:13">
      <c r="A607" t="s">
        <v>331</v>
      </c>
      <c r="B607" t="s">
        <v>50</v>
      </c>
      <c r="C607" t="s">
        <v>50</v>
      </c>
      <c r="D607" t="s">
        <v>3</v>
      </c>
      <c r="E607" t="s">
        <v>12</v>
      </c>
      <c r="F607" s="2">
        <v>43983</v>
      </c>
      <c r="G607" s="3">
        <v>5</v>
      </c>
      <c r="H607" s="3">
        <v>5</v>
      </c>
      <c r="I607" s="3">
        <v>5</v>
      </c>
      <c r="J607" s="3">
        <v>5</v>
      </c>
      <c r="K607" s="3">
        <v>5</v>
      </c>
      <c r="L607" s="3">
        <v>5</v>
      </c>
      <c r="M607" s="3">
        <v>5</v>
      </c>
    </row>
    <row r="608" spans="1:13">
      <c r="A608" t="s">
        <v>98</v>
      </c>
      <c r="B608" t="s">
        <v>558</v>
      </c>
      <c r="C608" t="s">
        <v>558</v>
      </c>
      <c r="D608" t="s">
        <v>3</v>
      </c>
      <c r="E608" t="s">
        <v>12</v>
      </c>
      <c r="F608" s="2">
        <v>43831</v>
      </c>
      <c r="G608" s="3">
        <v>5</v>
      </c>
      <c r="H608" s="3">
        <v>5</v>
      </c>
      <c r="I608" s="3">
        <v>5</v>
      </c>
      <c r="J608" s="3">
        <v>5</v>
      </c>
      <c r="K608" s="3">
        <v>5</v>
      </c>
      <c r="L608" s="3">
        <v>5</v>
      </c>
      <c r="M608" s="3">
        <v>5</v>
      </c>
    </row>
    <row r="609" spans="1:13">
      <c r="A609" t="s">
        <v>216</v>
      </c>
      <c r="B609" t="s">
        <v>2</v>
      </c>
      <c r="C609" t="s">
        <v>516</v>
      </c>
      <c r="D609" t="s">
        <v>3</v>
      </c>
      <c r="E609" t="s">
        <v>49</v>
      </c>
      <c r="F609" s="2">
        <v>44111</v>
      </c>
      <c r="G609" s="3">
        <v>4</v>
      </c>
      <c r="H609" s="3">
        <v>5</v>
      </c>
      <c r="I609" s="3">
        <v>5</v>
      </c>
      <c r="J609" s="3">
        <v>5</v>
      </c>
      <c r="K609" s="3">
        <v>5</v>
      </c>
      <c r="L609" s="3">
        <v>5</v>
      </c>
      <c r="M609" s="3">
        <v>5</v>
      </c>
    </row>
    <row r="610" spans="1:13">
      <c r="A610" t="s">
        <v>40</v>
      </c>
      <c r="B610" t="s">
        <v>39</v>
      </c>
      <c r="C610" t="s">
        <v>358</v>
      </c>
      <c r="D610" t="s">
        <v>3</v>
      </c>
      <c r="E610" t="s">
        <v>34</v>
      </c>
      <c r="F610" s="2">
        <v>44076</v>
      </c>
      <c r="G610" s="3">
        <v>4</v>
      </c>
      <c r="H610" s="3">
        <v>5</v>
      </c>
      <c r="I610" s="3">
        <v>2</v>
      </c>
      <c r="J610" s="3">
        <v>1</v>
      </c>
      <c r="K610" s="3">
        <v>5</v>
      </c>
      <c r="L610" s="3">
        <v>5</v>
      </c>
      <c r="M610" s="3">
        <v>1</v>
      </c>
    </row>
    <row r="611" spans="1:13">
      <c r="A611" t="s">
        <v>332</v>
      </c>
      <c r="B611" t="s">
        <v>333</v>
      </c>
      <c r="C611" t="s">
        <v>578</v>
      </c>
      <c r="D611" t="s">
        <v>3</v>
      </c>
      <c r="E611" t="s">
        <v>34</v>
      </c>
      <c r="F611" s="2">
        <v>44204</v>
      </c>
      <c r="G611" s="3">
        <v>4</v>
      </c>
      <c r="H611" s="3">
        <v>3</v>
      </c>
      <c r="I611" s="3">
        <v>5</v>
      </c>
      <c r="J611" s="3">
        <v>3</v>
      </c>
      <c r="K611" s="3">
        <v>3</v>
      </c>
      <c r="L611" s="3">
        <v>3</v>
      </c>
      <c r="M611" s="3">
        <v>3</v>
      </c>
    </row>
    <row r="612" spans="1:13">
      <c r="A612" t="s">
        <v>232</v>
      </c>
      <c r="B612" t="s">
        <v>50</v>
      </c>
      <c r="C612" t="s">
        <v>50</v>
      </c>
      <c r="D612" t="s">
        <v>3</v>
      </c>
      <c r="E612" t="s">
        <v>334</v>
      </c>
      <c r="F612" s="2">
        <v>44142</v>
      </c>
      <c r="G612" s="3">
        <v>5</v>
      </c>
      <c r="H612" s="3">
        <v>2</v>
      </c>
      <c r="I612" s="3">
        <v>4</v>
      </c>
      <c r="J612" s="3">
        <v>4</v>
      </c>
      <c r="K612" s="3">
        <v>2</v>
      </c>
      <c r="L612" s="3">
        <v>3</v>
      </c>
      <c r="M612" s="3">
        <v>3</v>
      </c>
    </row>
    <row r="613" spans="1:13">
      <c r="A613" t="s">
        <v>7</v>
      </c>
      <c r="B613" t="s">
        <v>192</v>
      </c>
      <c r="C613" t="s">
        <v>192</v>
      </c>
      <c r="D613" t="s">
        <v>3</v>
      </c>
      <c r="E613" t="s">
        <v>677</v>
      </c>
      <c r="F613" s="2">
        <v>44168</v>
      </c>
      <c r="G613" s="3">
        <v>5</v>
      </c>
      <c r="H613" s="3">
        <v>4</v>
      </c>
      <c r="I613" s="3">
        <v>3</v>
      </c>
      <c r="J613" s="3">
        <v>3</v>
      </c>
      <c r="K613" s="3">
        <v>5</v>
      </c>
      <c r="L613" s="3">
        <v>4</v>
      </c>
      <c r="M613" s="3">
        <v>4</v>
      </c>
    </row>
    <row r="614" spans="1:13">
      <c r="A614" t="s">
        <v>126</v>
      </c>
      <c r="B614" t="s">
        <v>82</v>
      </c>
      <c r="C614" t="s">
        <v>566</v>
      </c>
      <c r="D614" t="s">
        <v>3</v>
      </c>
      <c r="E614" t="s">
        <v>335</v>
      </c>
      <c r="F614" s="2">
        <v>44385</v>
      </c>
      <c r="G614" s="3">
        <v>2</v>
      </c>
      <c r="H614" s="3">
        <v>4</v>
      </c>
      <c r="I614" s="3">
        <v>5</v>
      </c>
      <c r="J614" s="3">
        <v>4</v>
      </c>
      <c r="K614" s="3">
        <v>5</v>
      </c>
      <c r="L614" s="3">
        <v>5</v>
      </c>
      <c r="M614" s="3">
        <v>5</v>
      </c>
    </row>
    <row r="615" spans="1:13">
      <c r="A615" t="s">
        <v>678</v>
      </c>
      <c r="B615" t="s">
        <v>78</v>
      </c>
      <c r="C615" t="s">
        <v>569</v>
      </c>
      <c r="D615" t="s">
        <v>3</v>
      </c>
      <c r="E615" t="s">
        <v>146</v>
      </c>
      <c r="F615" s="2">
        <v>43745</v>
      </c>
      <c r="G615" s="3">
        <v>5</v>
      </c>
      <c r="H615" s="3">
        <v>1</v>
      </c>
      <c r="I615" s="3">
        <v>2</v>
      </c>
      <c r="J615" s="3">
        <v>1</v>
      </c>
      <c r="K615" s="3">
        <v>1</v>
      </c>
      <c r="L615" s="3">
        <v>1</v>
      </c>
      <c r="M615" s="3">
        <v>2</v>
      </c>
    </row>
    <row r="616" spans="1:13">
      <c r="A616" t="s">
        <v>1</v>
      </c>
      <c r="B616" t="s">
        <v>2</v>
      </c>
      <c r="C616" t="s">
        <v>198</v>
      </c>
      <c r="D616" t="s">
        <v>3</v>
      </c>
      <c r="E616" t="s">
        <v>12</v>
      </c>
      <c r="F616" s="2">
        <v>43800</v>
      </c>
      <c r="G616" s="3">
        <v>5</v>
      </c>
      <c r="H616" s="3">
        <v>5</v>
      </c>
      <c r="I616" s="3">
        <v>5</v>
      </c>
      <c r="J616" s="3">
        <v>5</v>
      </c>
      <c r="K616" s="3">
        <v>4</v>
      </c>
      <c r="L616" s="3">
        <v>4</v>
      </c>
      <c r="M616" s="3">
        <v>5</v>
      </c>
    </row>
    <row r="617" spans="1:13">
      <c r="A617" t="s">
        <v>336</v>
      </c>
      <c r="B617" t="s">
        <v>2</v>
      </c>
      <c r="C617" t="s">
        <v>198</v>
      </c>
      <c r="D617" t="s">
        <v>3</v>
      </c>
      <c r="E617" t="s">
        <v>23</v>
      </c>
      <c r="F617" s="2">
        <v>44623</v>
      </c>
      <c r="G617" s="3">
        <v>4</v>
      </c>
      <c r="H617" s="3">
        <v>4</v>
      </c>
      <c r="I617" s="3">
        <v>4</v>
      </c>
      <c r="J617" s="3">
        <v>5</v>
      </c>
      <c r="K617" s="3">
        <v>5</v>
      </c>
      <c r="L617" s="3">
        <v>5</v>
      </c>
      <c r="M617" s="3">
        <v>5</v>
      </c>
    </row>
    <row r="618" spans="1:13">
      <c r="A618" t="s">
        <v>106</v>
      </c>
      <c r="B618" t="s">
        <v>2</v>
      </c>
      <c r="C618" t="s">
        <v>198</v>
      </c>
      <c r="D618" t="s">
        <v>3</v>
      </c>
      <c r="E618" t="s">
        <v>12</v>
      </c>
      <c r="F618" s="2">
        <v>44109</v>
      </c>
      <c r="G618" s="3">
        <v>3</v>
      </c>
      <c r="H618" s="3">
        <v>5</v>
      </c>
      <c r="I618" s="3">
        <v>4</v>
      </c>
      <c r="J618" s="3">
        <v>5</v>
      </c>
      <c r="K618" s="3">
        <v>5</v>
      </c>
      <c r="L618" s="3">
        <v>5</v>
      </c>
      <c r="M618" s="3">
        <v>5</v>
      </c>
    </row>
    <row r="619" spans="1:13">
      <c r="A619" t="s">
        <v>164</v>
      </c>
      <c r="B619" t="s">
        <v>2</v>
      </c>
      <c r="C619" t="s">
        <v>198</v>
      </c>
      <c r="D619" t="s">
        <v>55</v>
      </c>
      <c r="E619" t="s">
        <v>146</v>
      </c>
      <c r="F619" s="2">
        <v>44805</v>
      </c>
      <c r="G619" s="3">
        <v>3</v>
      </c>
      <c r="H619" s="3">
        <v>4</v>
      </c>
      <c r="I619" s="3">
        <v>3</v>
      </c>
      <c r="J619" s="3">
        <v>2</v>
      </c>
      <c r="K619" s="3">
        <v>4</v>
      </c>
      <c r="L619" s="3">
        <v>1</v>
      </c>
      <c r="M619" s="3">
        <v>2</v>
      </c>
    </row>
    <row r="620" spans="1:13">
      <c r="A620" t="s">
        <v>40</v>
      </c>
      <c r="B620" t="s">
        <v>193</v>
      </c>
      <c r="C620" t="s">
        <v>572</v>
      </c>
      <c r="D620" t="s">
        <v>3</v>
      </c>
      <c r="E620" t="s">
        <v>638</v>
      </c>
      <c r="F620" s="2">
        <v>44171</v>
      </c>
      <c r="G620" s="3">
        <v>4</v>
      </c>
      <c r="H620" s="3">
        <v>1</v>
      </c>
      <c r="I620" s="3">
        <v>2</v>
      </c>
      <c r="J620" s="3">
        <v>2</v>
      </c>
      <c r="K620" s="3">
        <v>4</v>
      </c>
      <c r="L620" s="3">
        <v>2</v>
      </c>
      <c r="M620" s="3">
        <v>3</v>
      </c>
    </row>
    <row r="621" spans="1:13">
      <c r="A621" t="s">
        <v>337</v>
      </c>
      <c r="B621" t="s">
        <v>338</v>
      </c>
      <c r="C621" t="s">
        <v>427</v>
      </c>
      <c r="D621" t="s">
        <v>3</v>
      </c>
      <c r="E621" t="s">
        <v>558</v>
      </c>
      <c r="F621" s="2">
        <v>44507</v>
      </c>
      <c r="G621" s="3">
        <v>5</v>
      </c>
      <c r="H621" s="3">
        <v>5</v>
      </c>
      <c r="I621" s="3">
        <v>5</v>
      </c>
      <c r="J621" s="3">
        <v>5</v>
      </c>
      <c r="K621" s="3">
        <v>5</v>
      </c>
      <c r="L621" s="3">
        <v>5</v>
      </c>
      <c r="M621" s="3">
        <v>5</v>
      </c>
    </row>
    <row r="622" spans="1:13">
      <c r="A622" t="s">
        <v>339</v>
      </c>
      <c r="B622" t="s">
        <v>340</v>
      </c>
      <c r="C622" t="s">
        <v>579</v>
      </c>
      <c r="D622" t="s">
        <v>3</v>
      </c>
      <c r="E622" t="s">
        <v>341</v>
      </c>
      <c r="F622" s="2">
        <v>44139</v>
      </c>
      <c r="G622" s="3">
        <v>5</v>
      </c>
      <c r="H622" s="3">
        <v>5</v>
      </c>
      <c r="I622" s="3">
        <v>5</v>
      </c>
      <c r="J622" s="3">
        <v>5</v>
      </c>
      <c r="K622" s="3">
        <v>5</v>
      </c>
      <c r="L622" s="3">
        <v>5</v>
      </c>
      <c r="M622" s="3">
        <v>5</v>
      </c>
    </row>
    <row r="623" spans="1:13">
      <c r="A623" t="s">
        <v>30</v>
      </c>
      <c r="B623" t="s">
        <v>2</v>
      </c>
      <c r="C623" t="s">
        <v>198</v>
      </c>
      <c r="D623" t="s">
        <v>3</v>
      </c>
      <c r="E623" t="s">
        <v>12</v>
      </c>
      <c r="F623" s="2">
        <v>44477</v>
      </c>
      <c r="G623" s="3">
        <v>2</v>
      </c>
      <c r="H623" s="3">
        <v>3</v>
      </c>
      <c r="I623" s="3">
        <v>5</v>
      </c>
      <c r="J623" s="3">
        <v>1</v>
      </c>
      <c r="K623" s="3">
        <v>5</v>
      </c>
      <c r="L623" s="3">
        <v>5</v>
      </c>
      <c r="M623" s="3">
        <v>4</v>
      </c>
    </row>
    <row r="624" spans="1:13">
      <c r="A624" t="s">
        <v>1</v>
      </c>
      <c r="B624" t="s">
        <v>2</v>
      </c>
      <c r="C624" t="s">
        <v>198</v>
      </c>
      <c r="D624" t="s">
        <v>3</v>
      </c>
      <c r="E624" t="s">
        <v>26</v>
      </c>
      <c r="F624" s="2">
        <v>44113</v>
      </c>
      <c r="G624" s="3">
        <v>5</v>
      </c>
      <c r="H624" s="3">
        <v>5</v>
      </c>
      <c r="I624" s="3">
        <v>5</v>
      </c>
      <c r="J624" s="3">
        <v>5</v>
      </c>
      <c r="K624" s="3">
        <v>5</v>
      </c>
      <c r="L624" s="3">
        <v>5</v>
      </c>
      <c r="M624" s="3">
        <v>5</v>
      </c>
    </row>
    <row r="625" spans="1:13">
      <c r="A625" t="s">
        <v>342</v>
      </c>
      <c r="B625" t="s">
        <v>243</v>
      </c>
      <c r="C625" t="s">
        <v>574</v>
      </c>
      <c r="D625" t="s">
        <v>3</v>
      </c>
      <c r="E625" t="s">
        <v>12</v>
      </c>
      <c r="F625" s="2">
        <v>44235</v>
      </c>
      <c r="G625" s="3">
        <v>3</v>
      </c>
      <c r="H625" s="3">
        <v>1</v>
      </c>
      <c r="I625" s="3">
        <v>1</v>
      </c>
      <c r="J625" s="3">
        <v>1</v>
      </c>
      <c r="K625" s="3">
        <v>5</v>
      </c>
      <c r="L625" s="3">
        <v>3</v>
      </c>
      <c r="M625" s="3">
        <v>1</v>
      </c>
    </row>
    <row r="626" spans="1:13">
      <c r="A626" t="s">
        <v>77</v>
      </c>
      <c r="B626" t="s">
        <v>2</v>
      </c>
      <c r="C626" t="s">
        <v>198</v>
      </c>
      <c r="D626" t="s">
        <v>55</v>
      </c>
      <c r="E626" t="s">
        <v>12</v>
      </c>
      <c r="F626" s="2">
        <v>43560</v>
      </c>
      <c r="G626" s="3">
        <v>3</v>
      </c>
      <c r="H626" s="3">
        <v>3</v>
      </c>
      <c r="I626" s="3">
        <v>3</v>
      </c>
      <c r="J626" s="3">
        <v>2</v>
      </c>
      <c r="K626" s="3">
        <v>4</v>
      </c>
      <c r="L626" s="3">
        <v>4</v>
      </c>
      <c r="M626" s="3">
        <v>3</v>
      </c>
    </row>
    <row r="627" spans="1:13">
      <c r="A627" t="s">
        <v>324</v>
      </c>
      <c r="B627" t="s">
        <v>82</v>
      </c>
      <c r="C627" t="s">
        <v>566</v>
      </c>
      <c r="D627" t="s">
        <v>3</v>
      </c>
      <c r="E627" t="s">
        <v>146</v>
      </c>
      <c r="F627" s="2">
        <v>44260</v>
      </c>
      <c r="G627" s="3">
        <v>5</v>
      </c>
      <c r="H627" s="3">
        <v>5</v>
      </c>
      <c r="I627" s="3">
        <v>5</v>
      </c>
      <c r="J627" s="3">
        <v>5</v>
      </c>
      <c r="K627" s="3">
        <v>5</v>
      </c>
      <c r="L627" s="3">
        <v>5</v>
      </c>
      <c r="M627" s="3">
        <v>5</v>
      </c>
    </row>
    <row r="628" spans="1:13">
      <c r="A628" t="s">
        <v>31</v>
      </c>
      <c r="B628" t="s">
        <v>2</v>
      </c>
      <c r="C628" t="s">
        <v>198</v>
      </c>
      <c r="D628" t="s">
        <v>3</v>
      </c>
      <c r="E628" t="s">
        <v>26</v>
      </c>
      <c r="F628" s="2">
        <v>43472</v>
      </c>
      <c r="G628" s="3">
        <v>5</v>
      </c>
      <c r="H628" s="3">
        <v>4</v>
      </c>
      <c r="I628" s="3">
        <v>4</v>
      </c>
      <c r="J628" s="3">
        <v>4</v>
      </c>
      <c r="K628" s="3">
        <v>5</v>
      </c>
      <c r="L628" s="3">
        <v>5</v>
      </c>
      <c r="M628" s="3">
        <v>4</v>
      </c>
    </row>
    <row r="629" spans="1:13">
      <c r="A629" t="s">
        <v>94</v>
      </c>
      <c r="B629" t="s">
        <v>72</v>
      </c>
      <c r="C629" t="s">
        <v>578</v>
      </c>
      <c r="D629" t="s">
        <v>3</v>
      </c>
      <c r="E629" t="s">
        <v>128</v>
      </c>
      <c r="F629" s="2">
        <v>44083</v>
      </c>
      <c r="G629" s="3">
        <v>5</v>
      </c>
      <c r="H629" s="3">
        <v>5</v>
      </c>
      <c r="I629" s="3">
        <v>5</v>
      </c>
      <c r="J629" s="3">
        <v>5</v>
      </c>
      <c r="K629" s="3">
        <v>5</v>
      </c>
      <c r="L629" s="3">
        <v>5</v>
      </c>
      <c r="M629" s="3">
        <v>3</v>
      </c>
    </row>
    <row r="630" spans="1:13">
      <c r="A630" t="s">
        <v>275</v>
      </c>
      <c r="B630" t="s">
        <v>243</v>
      </c>
      <c r="C630" t="s">
        <v>574</v>
      </c>
      <c r="D630" t="s">
        <v>3</v>
      </c>
      <c r="E630" t="s">
        <v>26</v>
      </c>
      <c r="F630" s="2">
        <v>44047</v>
      </c>
      <c r="G630" s="3">
        <v>3</v>
      </c>
      <c r="H630" s="3">
        <v>3</v>
      </c>
      <c r="I630" s="3">
        <v>2</v>
      </c>
      <c r="J630" s="3">
        <v>1</v>
      </c>
      <c r="K630" s="3">
        <v>4</v>
      </c>
      <c r="L630" s="3">
        <v>4</v>
      </c>
      <c r="M630" s="3">
        <v>3</v>
      </c>
    </row>
    <row r="631" spans="1:13">
      <c r="A631" t="s">
        <v>7</v>
      </c>
      <c r="B631" t="s">
        <v>8</v>
      </c>
      <c r="C631" t="s">
        <v>570</v>
      </c>
      <c r="D631" t="s">
        <v>3</v>
      </c>
      <c r="E631" t="s">
        <v>139</v>
      </c>
      <c r="F631" s="2">
        <v>44257</v>
      </c>
      <c r="G631" s="3">
        <v>4</v>
      </c>
      <c r="H631" s="3">
        <v>2</v>
      </c>
      <c r="I631" s="3">
        <v>3</v>
      </c>
      <c r="J631" s="3">
        <v>3</v>
      </c>
      <c r="K631" s="3">
        <v>4</v>
      </c>
      <c r="L631" s="3">
        <v>3</v>
      </c>
      <c r="M631" s="3">
        <v>3</v>
      </c>
    </row>
    <row r="632" spans="1:13">
      <c r="A632" t="s">
        <v>16</v>
      </c>
      <c r="B632" t="s">
        <v>286</v>
      </c>
      <c r="C632" t="s">
        <v>198</v>
      </c>
      <c r="D632" t="s">
        <v>3</v>
      </c>
      <c r="E632" t="s">
        <v>12</v>
      </c>
      <c r="F632" s="2">
        <v>44565</v>
      </c>
      <c r="G632" s="3">
        <v>4</v>
      </c>
      <c r="H632" s="3">
        <v>5</v>
      </c>
      <c r="I632" s="3">
        <v>5</v>
      </c>
      <c r="J632" s="3">
        <v>2</v>
      </c>
      <c r="K632" s="3">
        <v>5</v>
      </c>
      <c r="L632" s="3">
        <v>3</v>
      </c>
      <c r="M632" s="3">
        <v>4</v>
      </c>
    </row>
    <row r="633" spans="1:13">
      <c r="A633" t="s">
        <v>1</v>
      </c>
      <c r="B633" t="s">
        <v>2</v>
      </c>
      <c r="C633" t="s">
        <v>198</v>
      </c>
      <c r="D633" t="s">
        <v>3</v>
      </c>
      <c r="E633" t="s">
        <v>139</v>
      </c>
      <c r="F633" s="2">
        <v>44379</v>
      </c>
      <c r="G633" s="3">
        <v>3</v>
      </c>
      <c r="H633" s="3">
        <v>4</v>
      </c>
      <c r="I633" s="3">
        <v>2</v>
      </c>
      <c r="J633" s="3">
        <v>2</v>
      </c>
      <c r="K633" s="3">
        <v>5</v>
      </c>
      <c r="L633" s="3">
        <v>3</v>
      </c>
      <c r="M633" s="3">
        <v>3</v>
      </c>
    </row>
    <row r="634" spans="1:13">
      <c r="A634" t="s">
        <v>77</v>
      </c>
      <c r="B634" t="s">
        <v>2</v>
      </c>
      <c r="C634" t="s">
        <v>198</v>
      </c>
      <c r="D634" t="s">
        <v>55</v>
      </c>
      <c r="E634" t="s">
        <v>139</v>
      </c>
      <c r="F634" s="2">
        <v>44259</v>
      </c>
      <c r="G634" s="3">
        <v>4</v>
      </c>
      <c r="H634" s="3">
        <v>4</v>
      </c>
      <c r="I634" s="3">
        <v>4</v>
      </c>
      <c r="J634" s="3">
        <v>4</v>
      </c>
      <c r="K634" s="3">
        <v>4</v>
      </c>
      <c r="L634" s="3">
        <v>4</v>
      </c>
      <c r="M634" s="3">
        <v>4</v>
      </c>
    </row>
    <row r="635" spans="1:13">
      <c r="A635" t="s">
        <v>77</v>
      </c>
      <c r="B635" t="s">
        <v>2</v>
      </c>
      <c r="C635" t="s">
        <v>198</v>
      </c>
      <c r="D635" t="s">
        <v>55</v>
      </c>
      <c r="E635" t="s">
        <v>12</v>
      </c>
      <c r="F635" s="2">
        <v>44113</v>
      </c>
      <c r="G635" s="3">
        <v>5</v>
      </c>
      <c r="H635" s="3">
        <v>5</v>
      </c>
      <c r="I635" s="3">
        <v>5</v>
      </c>
      <c r="J635" s="3">
        <v>5</v>
      </c>
      <c r="K635" s="3">
        <v>5</v>
      </c>
      <c r="L635" s="3">
        <v>5</v>
      </c>
      <c r="M635" s="3">
        <v>5</v>
      </c>
    </row>
    <row r="636" spans="1:13">
      <c r="A636" t="s">
        <v>115</v>
      </c>
      <c r="B636" t="s">
        <v>2</v>
      </c>
      <c r="C636" t="s">
        <v>198</v>
      </c>
      <c r="D636" t="s">
        <v>3</v>
      </c>
      <c r="E636" t="s">
        <v>4</v>
      </c>
      <c r="F636" s="2">
        <v>43864</v>
      </c>
      <c r="G636" s="3">
        <v>3</v>
      </c>
      <c r="H636" s="3">
        <v>3</v>
      </c>
      <c r="I636" s="3">
        <v>3</v>
      </c>
      <c r="J636" s="3">
        <v>3</v>
      </c>
      <c r="K636" s="3">
        <v>4</v>
      </c>
      <c r="L636" s="3">
        <v>4</v>
      </c>
      <c r="M636" s="3">
        <v>3</v>
      </c>
    </row>
    <row r="637" spans="1:13">
      <c r="A637" t="s">
        <v>343</v>
      </c>
      <c r="B637" t="s">
        <v>39</v>
      </c>
      <c r="C637" t="s">
        <v>358</v>
      </c>
      <c r="D637" t="s">
        <v>3</v>
      </c>
      <c r="E637" t="s">
        <v>201</v>
      </c>
      <c r="F637" s="2">
        <v>43653</v>
      </c>
      <c r="G637" s="3">
        <v>5</v>
      </c>
      <c r="H637" s="3">
        <v>5</v>
      </c>
      <c r="I637" s="3">
        <v>5</v>
      </c>
      <c r="J637" s="3">
        <v>5</v>
      </c>
      <c r="K637" s="3">
        <v>5</v>
      </c>
      <c r="L637" s="3">
        <v>5</v>
      </c>
      <c r="M637" s="3">
        <v>5</v>
      </c>
    </row>
    <row r="638" spans="1:13">
      <c r="A638" t="s">
        <v>1</v>
      </c>
      <c r="B638" t="s">
        <v>2</v>
      </c>
      <c r="C638" t="s">
        <v>198</v>
      </c>
      <c r="D638" t="s">
        <v>3</v>
      </c>
      <c r="E638" t="s">
        <v>139</v>
      </c>
      <c r="F638" s="2">
        <v>44109</v>
      </c>
      <c r="G638" s="3">
        <v>3</v>
      </c>
      <c r="H638" s="3">
        <v>2</v>
      </c>
      <c r="I638" s="3">
        <v>1</v>
      </c>
      <c r="J638" s="3">
        <v>2</v>
      </c>
      <c r="K638" s="3">
        <v>3</v>
      </c>
      <c r="L638" s="3">
        <v>4</v>
      </c>
      <c r="M638" s="3">
        <v>2</v>
      </c>
    </row>
    <row r="639" spans="1:13">
      <c r="A639" t="s">
        <v>679</v>
      </c>
      <c r="B639" t="s">
        <v>2</v>
      </c>
      <c r="C639" t="s">
        <v>198</v>
      </c>
      <c r="D639" t="s">
        <v>3</v>
      </c>
      <c r="E639" t="s">
        <v>344</v>
      </c>
      <c r="F639" s="2">
        <v>44687</v>
      </c>
      <c r="G639" s="3">
        <v>5</v>
      </c>
      <c r="H639" s="3">
        <v>4</v>
      </c>
      <c r="I639" s="3">
        <v>5</v>
      </c>
      <c r="J639" s="3">
        <v>5</v>
      </c>
      <c r="K639" s="3">
        <v>5</v>
      </c>
      <c r="L639" s="3">
        <v>5</v>
      </c>
      <c r="M639" s="3">
        <v>1</v>
      </c>
    </row>
    <row r="640" spans="1:13">
      <c r="A640" t="s">
        <v>282</v>
      </c>
      <c r="B640" t="s">
        <v>50</v>
      </c>
      <c r="C640" t="s">
        <v>50</v>
      </c>
      <c r="D640" t="s">
        <v>3</v>
      </c>
      <c r="E640" t="s">
        <v>34</v>
      </c>
      <c r="F640" s="2">
        <v>44107</v>
      </c>
      <c r="G640" s="3">
        <v>2</v>
      </c>
      <c r="H640" s="3">
        <v>1</v>
      </c>
      <c r="I640" s="3">
        <v>1</v>
      </c>
      <c r="J640" s="3">
        <v>1</v>
      </c>
      <c r="K640" s="3">
        <v>1</v>
      </c>
      <c r="L640" s="3">
        <v>2</v>
      </c>
      <c r="M640" s="3">
        <v>2</v>
      </c>
    </row>
    <row r="641" spans="1:13">
      <c r="A641" t="s">
        <v>1</v>
      </c>
      <c r="B641" t="s">
        <v>2</v>
      </c>
      <c r="C641" t="s">
        <v>198</v>
      </c>
      <c r="D641" t="s">
        <v>3</v>
      </c>
      <c r="E641" t="s">
        <v>26</v>
      </c>
      <c r="F641" s="2">
        <v>43896</v>
      </c>
      <c r="G641" s="3">
        <v>5</v>
      </c>
      <c r="H641" s="3">
        <v>4</v>
      </c>
      <c r="I641" s="3">
        <v>5</v>
      </c>
      <c r="J641" s="3">
        <v>5</v>
      </c>
      <c r="K641" s="3">
        <v>5</v>
      </c>
      <c r="L641" s="3">
        <v>4</v>
      </c>
      <c r="M641" s="3">
        <v>5</v>
      </c>
    </row>
    <row r="642" spans="1:13">
      <c r="A642" t="s">
        <v>188</v>
      </c>
      <c r="B642" t="s">
        <v>8</v>
      </c>
      <c r="C642" t="s">
        <v>570</v>
      </c>
      <c r="D642" t="s">
        <v>3</v>
      </c>
      <c r="E642" t="s">
        <v>627</v>
      </c>
      <c r="F642" s="2">
        <v>43988</v>
      </c>
      <c r="G642" s="3">
        <v>5</v>
      </c>
      <c r="H642" s="3">
        <v>5</v>
      </c>
      <c r="I642" s="3">
        <v>5</v>
      </c>
      <c r="J642" s="3">
        <v>4</v>
      </c>
      <c r="K642" s="3">
        <v>4</v>
      </c>
      <c r="L642" s="3">
        <v>4</v>
      </c>
      <c r="M642" s="3">
        <v>4</v>
      </c>
    </row>
    <row r="643" spans="1:13">
      <c r="A643" t="s">
        <v>308</v>
      </c>
      <c r="B643" t="s">
        <v>32</v>
      </c>
      <c r="C643" t="s">
        <v>567</v>
      </c>
      <c r="D643" t="s">
        <v>3</v>
      </c>
      <c r="E643" t="s">
        <v>17</v>
      </c>
      <c r="F643" s="2">
        <v>44107</v>
      </c>
      <c r="G643" s="3">
        <v>5</v>
      </c>
      <c r="H643" s="3">
        <v>5</v>
      </c>
      <c r="I643" s="3">
        <v>5</v>
      </c>
      <c r="J643" s="3">
        <v>5</v>
      </c>
      <c r="K643" s="3">
        <v>5</v>
      </c>
      <c r="L643" s="3">
        <v>5</v>
      </c>
      <c r="M643" s="3">
        <v>5</v>
      </c>
    </row>
    <row r="644" spans="1:13">
      <c r="A644" t="s">
        <v>35</v>
      </c>
      <c r="B644" t="s">
        <v>2</v>
      </c>
      <c r="C644" t="s">
        <v>198</v>
      </c>
      <c r="D644" t="s">
        <v>3</v>
      </c>
      <c r="E644" t="s">
        <v>122</v>
      </c>
      <c r="F644" s="2">
        <v>43747</v>
      </c>
      <c r="G644" s="3">
        <v>4</v>
      </c>
      <c r="H644" s="3">
        <v>4</v>
      </c>
      <c r="I644" s="3">
        <v>5</v>
      </c>
      <c r="J644" s="3">
        <v>4</v>
      </c>
      <c r="K644" s="3">
        <v>4</v>
      </c>
      <c r="L644" s="3">
        <v>4</v>
      </c>
      <c r="M644" s="3">
        <v>4</v>
      </c>
    </row>
    <row r="645" spans="1:13">
      <c r="A645" t="s">
        <v>1</v>
      </c>
      <c r="B645" t="s">
        <v>243</v>
      </c>
      <c r="C645" t="str" cm="1">
        <f t="array" ref="C645">_xlfn.IFS(B645="Neemrana","Rajasthan",B645="Tadepalligudem","Andhra Pradesh",B645="Kolkata","West Bengal",B645="Unknown","Unknown",B645="Andheri East,Chakala","Mumbai",B645="Ahmadnagar","Maharastra",B645="Sri City","Andhra Pradesh",B645="Gurgaon","Haryana",B645="Ahmedbad","Gujarat",B645="Jaipur","Rajasthan",B645="Chennai","Tamil Nadu")</f>
        <v>Haryana</v>
      </c>
      <c r="D645" t="s">
        <v>3</v>
      </c>
      <c r="E645" t="s">
        <v>12</v>
      </c>
      <c r="F645" s="2">
        <v>44109</v>
      </c>
      <c r="G645" s="3">
        <v>5</v>
      </c>
      <c r="H645" s="3">
        <v>4</v>
      </c>
      <c r="I645" s="3">
        <v>5</v>
      </c>
      <c r="J645" s="3">
        <v>4</v>
      </c>
      <c r="K645" s="3">
        <v>4</v>
      </c>
      <c r="L645" s="3">
        <v>4</v>
      </c>
      <c r="M645" s="3">
        <v>5</v>
      </c>
    </row>
    <row r="646" spans="1:13">
      <c r="A646" t="s">
        <v>133</v>
      </c>
      <c r="B646" t="s">
        <v>206</v>
      </c>
      <c r="C646" t="s">
        <v>569</v>
      </c>
      <c r="D646" t="s">
        <v>3</v>
      </c>
      <c r="E646" t="s">
        <v>326</v>
      </c>
      <c r="F646" s="2">
        <v>44748</v>
      </c>
      <c r="G646" s="3">
        <v>5</v>
      </c>
      <c r="H646" s="3">
        <v>5</v>
      </c>
      <c r="I646" s="3">
        <v>5</v>
      </c>
      <c r="J646" s="3">
        <v>5</v>
      </c>
      <c r="K646" s="3">
        <v>5</v>
      </c>
      <c r="L646" s="3">
        <v>5</v>
      </c>
      <c r="M646" s="3">
        <v>5</v>
      </c>
    </row>
    <row r="647" spans="1:13">
      <c r="A647" t="s">
        <v>7</v>
      </c>
      <c r="B647" t="s">
        <v>50</v>
      </c>
      <c r="C647" t="s">
        <v>50</v>
      </c>
      <c r="D647" t="s">
        <v>3</v>
      </c>
      <c r="E647" t="s">
        <v>26</v>
      </c>
      <c r="F647" s="2">
        <v>43832</v>
      </c>
      <c r="G647" s="3">
        <v>4</v>
      </c>
      <c r="H647" s="3">
        <v>3</v>
      </c>
      <c r="I647" s="3">
        <v>5</v>
      </c>
      <c r="J647" s="3">
        <v>4</v>
      </c>
      <c r="K647" s="3">
        <v>4</v>
      </c>
      <c r="L647" s="3">
        <v>4</v>
      </c>
      <c r="M647" s="3">
        <v>4</v>
      </c>
    </row>
    <row r="648" spans="1:13">
      <c r="A648" t="s">
        <v>1</v>
      </c>
      <c r="B648" t="s">
        <v>2</v>
      </c>
      <c r="C648" t="s">
        <v>198</v>
      </c>
      <c r="D648" t="s">
        <v>3</v>
      </c>
      <c r="E648" t="s">
        <v>26</v>
      </c>
      <c r="F648" s="2">
        <v>43862</v>
      </c>
      <c r="G648" s="3">
        <v>4</v>
      </c>
      <c r="H648" s="3">
        <v>3</v>
      </c>
      <c r="I648" s="3">
        <v>4</v>
      </c>
      <c r="J648" s="3">
        <v>4</v>
      </c>
      <c r="K648" s="3">
        <v>3</v>
      </c>
      <c r="L648" s="3">
        <v>1</v>
      </c>
      <c r="M648" s="3">
        <v>4</v>
      </c>
    </row>
    <row r="649" spans="1:13">
      <c r="A649" t="s">
        <v>107</v>
      </c>
      <c r="B649" t="s">
        <v>2</v>
      </c>
      <c r="C649" t="s">
        <v>198</v>
      </c>
      <c r="D649" t="s">
        <v>3</v>
      </c>
      <c r="E649" t="s">
        <v>616</v>
      </c>
      <c r="F649" s="2">
        <v>43625</v>
      </c>
      <c r="G649" s="3">
        <v>2</v>
      </c>
      <c r="H649" s="3">
        <v>2</v>
      </c>
      <c r="I649" s="3">
        <v>2</v>
      </c>
      <c r="J649" s="3">
        <v>2</v>
      </c>
      <c r="K649" s="3">
        <v>3</v>
      </c>
      <c r="L649" s="3">
        <v>2</v>
      </c>
      <c r="M649" s="3">
        <v>2</v>
      </c>
    </row>
    <row r="650" spans="1:13">
      <c r="A650" t="s">
        <v>345</v>
      </c>
      <c r="B650" t="s">
        <v>286</v>
      </c>
      <c r="C650" t="s">
        <v>198</v>
      </c>
      <c r="D650" t="s">
        <v>3</v>
      </c>
      <c r="E650" t="s">
        <v>26</v>
      </c>
      <c r="F650" s="2">
        <v>43683</v>
      </c>
      <c r="G650" s="3">
        <v>5</v>
      </c>
      <c r="H650" s="3">
        <v>4</v>
      </c>
      <c r="I650" s="3">
        <v>4</v>
      </c>
      <c r="J650" s="3">
        <v>4</v>
      </c>
      <c r="K650" s="3">
        <v>5</v>
      </c>
      <c r="L650" s="3">
        <v>5</v>
      </c>
      <c r="M650" s="3">
        <v>4</v>
      </c>
    </row>
    <row r="651" spans="1:13">
      <c r="A651" t="s">
        <v>1</v>
      </c>
      <c r="B651" t="s">
        <v>2</v>
      </c>
      <c r="C651" t="s">
        <v>198</v>
      </c>
      <c r="D651" t="s">
        <v>3</v>
      </c>
      <c r="E651" t="s">
        <v>23</v>
      </c>
      <c r="F651" s="2">
        <v>43891</v>
      </c>
      <c r="G651" s="3">
        <v>5</v>
      </c>
      <c r="H651" s="3">
        <v>5</v>
      </c>
      <c r="I651" s="3">
        <v>5</v>
      </c>
      <c r="J651" s="3">
        <v>4</v>
      </c>
      <c r="K651" s="3">
        <v>5</v>
      </c>
      <c r="L651" s="3">
        <v>5</v>
      </c>
      <c r="M651" s="3">
        <v>5</v>
      </c>
    </row>
    <row r="652" spans="1:13">
      <c r="A652" t="s">
        <v>1</v>
      </c>
      <c r="B652" t="s">
        <v>2</v>
      </c>
      <c r="C652" t="s">
        <v>198</v>
      </c>
      <c r="D652" t="s">
        <v>3</v>
      </c>
      <c r="E652" t="s">
        <v>23</v>
      </c>
      <c r="F652" s="2">
        <v>44048</v>
      </c>
      <c r="G652" s="3">
        <v>5</v>
      </c>
      <c r="H652" s="3">
        <v>4</v>
      </c>
      <c r="I652" s="3">
        <v>4</v>
      </c>
      <c r="J652" s="3">
        <v>5</v>
      </c>
      <c r="K652" s="3">
        <v>5</v>
      </c>
      <c r="L652" s="3">
        <v>5</v>
      </c>
      <c r="M652" s="3">
        <v>4</v>
      </c>
    </row>
    <row r="653" spans="1:13">
      <c r="A653" t="s">
        <v>343</v>
      </c>
      <c r="B653" t="s">
        <v>346</v>
      </c>
      <c r="C653" t="s">
        <v>570</v>
      </c>
      <c r="D653" t="s">
        <v>3</v>
      </c>
      <c r="E653" t="s">
        <v>347</v>
      </c>
      <c r="F653" s="2">
        <v>44105</v>
      </c>
      <c r="G653" s="3">
        <v>5</v>
      </c>
      <c r="H653" s="3">
        <v>5</v>
      </c>
      <c r="I653" s="3">
        <v>5</v>
      </c>
      <c r="J653" s="3">
        <v>5</v>
      </c>
      <c r="K653" s="3">
        <v>5</v>
      </c>
      <c r="L653" s="3">
        <v>5</v>
      </c>
      <c r="M653" s="3">
        <v>5</v>
      </c>
    </row>
    <row r="654" spans="1:13">
      <c r="A654" t="s">
        <v>16</v>
      </c>
      <c r="B654" t="s">
        <v>2</v>
      </c>
      <c r="C654" t="s">
        <v>198</v>
      </c>
      <c r="D654" t="s">
        <v>3</v>
      </c>
      <c r="E654" t="s">
        <v>348</v>
      </c>
      <c r="F654" s="2">
        <v>43435</v>
      </c>
      <c r="G654" s="3">
        <v>5</v>
      </c>
      <c r="H654" s="3">
        <v>5</v>
      </c>
      <c r="I654" s="3">
        <v>5</v>
      </c>
      <c r="J654" s="3">
        <v>3</v>
      </c>
      <c r="K654" s="3">
        <v>5</v>
      </c>
      <c r="L654" s="3">
        <v>5</v>
      </c>
      <c r="M654" s="3">
        <v>5</v>
      </c>
    </row>
    <row r="655" spans="1:13">
      <c r="A655" t="s">
        <v>600</v>
      </c>
      <c r="B655" t="s">
        <v>558</v>
      </c>
      <c r="C655" t="s">
        <v>558</v>
      </c>
      <c r="D655" t="s">
        <v>3</v>
      </c>
      <c r="E655" t="s">
        <v>349</v>
      </c>
      <c r="F655" s="2">
        <v>44448</v>
      </c>
      <c r="G655" s="3">
        <v>5</v>
      </c>
      <c r="H655" s="3">
        <v>5</v>
      </c>
      <c r="I655" s="3">
        <v>5</v>
      </c>
      <c r="J655" s="3">
        <v>5</v>
      </c>
      <c r="K655" s="3">
        <v>5</v>
      </c>
      <c r="L655" s="3">
        <v>5</v>
      </c>
      <c r="M655" s="3">
        <v>5</v>
      </c>
    </row>
    <row r="656" spans="1:13">
      <c r="A656" t="s">
        <v>126</v>
      </c>
      <c r="B656" t="s">
        <v>575</v>
      </c>
      <c r="C656" t="s">
        <v>358</v>
      </c>
      <c r="D656" t="s">
        <v>3</v>
      </c>
      <c r="E656" t="s">
        <v>350</v>
      </c>
      <c r="F656" s="2">
        <v>43836</v>
      </c>
      <c r="G656" s="3">
        <v>5</v>
      </c>
      <c r="H656" s="3">
        <v>5</v>
      </c>
      <c r="I656" s="3">
        <v>5</v>
      </c>
      <c r="J656" s="3">
        <v>5</v>
      </c>
      <c r="K656" s="3">
        <v>5</v>
      </c>
      <c r="L656" s="3">
        <v>5</v>
      </c>
      <c r="M656" s="3">
        <v>5</v>
      </c>
    </row>
    <row r="657" spans="1:13">
      <c r="A657" t="s">
        <v>153</v>
      </c>
      <c r="B657" t="s">
        <v>243</v>
      </c>
      <c r="C657" t="str" cm="1">
        <f t="array" ref="C657">_xlfn.IFS(B657="Neemrana","Rajasthan",B657="Tadepalligudem","Andhra Pradesh",B657="Kolkata","West Bengal",B657="Unknown","Unknown",B657="Andheri East,Chakala","Mumbai",B657="Ahmadnagar","Maharastra",B657="Sri City","Andhra Pradesh",B657="Gurgaon","Haryana",B657="Ahmedbad","Gujarat",B657="Jaipur","Rajasthan",B657="Chennai","Tamil Nadu")</f>
        <v>Haryana</v>
      </c>
      <c r="D657" t="s">
        <v>3</v>
      </c>
      <c r="E657" t="s">
        <v>558</v>
      </c>
      <c r="F657" s="2">
        <v>44350</v>
      </c>
      <c r="G657" s="3">
        <v>5</v>
      </c>
      <c r="H657" s="3">
        <v>3</v>
      </c>
      <c r="I657" s="3">
        <v>5</v>
      </c>
      <c r="J657" s="3">
        <v>4</v>
      </c>
      <c r="K657" s="3">
        <v>5</v>
      </c>
      <c r="L657" s="3">
        <v>5</v>
      </c>
      <c r="M657" s="3">
        <v>5</v>
      </c>
    </row>
    <row r="658" spans="1:13">
      <c r="A658" t="s">
        <v>30</v>
      </c>
      <c r="B658" t="s">
        <v>558</v>
      </c>
      <c r="C658" t="s">
        <v>558</v>
      </c>
      <c r="D658" t="s">
        <v>3</v>
      </c>
      <c r="E658" t="s">
        <v>12</v>
      </c>
      <c r="F658" s="2">
        <v>43347</v>
      </c>
      <c r="G658" s="3">
        <v>4</v>
      </c>
      <c r="H658" s="3">
        <v>3</v>
      </c>
      <c r="I658" s="3">
        <v>3</v>
      </c>
      <c r="J658" s="3">
        <v>4</v>
      </c>
      <c r="K658" s="3">
        <v>4</v>
      </c>
      <c r="L658" s="3">
        <v>5</v>
      </c>
      <c r="M658" s="3">
        <v>3</v>
      </c>
    </row>
    <row r="659" spans="1:13">
      <c r="A659" t="s">
        <v>31</v>
      </c>
      <c r="B659" t="s">
        <v>2</v>
      </c>
      <c r="C659" t="s">
        <v>198</v>
      </c>
      <c r="D659" t="s">
        <v>3</v>
      </c>
      <c r="E659" t="s">
        <v>26</v>
      </c>
      <c r="F659" s="2">
        <v>43773</v>
      </c>
      <c r="G659" s="3">
        <v>5</v>
      </c>
      <c r="H659" s="3">
        <v>4</v>
      </c>
      <c r="I659" s="3">
        <v>5</v>
      </c>
      <c r="J659" s="3">
        <v>4</v>
      </c>
      <c r="K659" s="3">
        <v>5</v>
      </c>
      <c r="L659" s="3">
        <v>5</v>
      </c>
      <c r="M659" s="3">
        <v>5</v>
      </c>
    </row>
    <row r="660" spans="1:13">
      <c r="A660" t="s">
        <v>680</v>
      </c>
      <c r="B660" t="s">
        <v>558</v>
      </c>
      <c r="C660" t="s">
        <v>558</v>
      </c>
      <c r="D660" t="s">
        <v>3</v>
      </c>
      <c r="E660" t="s">
        <v>351</v>
      </c>
      <c r="F660" s="2">
        <v>44015</v>
      </c>
      <c r="G660" s="3">
        <v>5</v>
      </c>
      <c r="H660" s="3">
        <v>5</v>
      </c>
      <c r="I660" s="3">
        <v>5</v>
      </c>
      <c r="J660" s="3">
        <v>5</v>
      </c>
      <c r="K660" s="3">
        <v>5</v>
      </c>
      <c r="L660" s="3">
        <v>5</v>
      </c>
      <c r="M660" s="3">
        <v>5</v>
      </c>
    </row>
    <row r="661" spans="1:13">
      <c r="A661" t="s">
        <v>94</v>
      </c>
      <c r="B661" t="s">
        <v>50</v>
      </c>
      <c r="C661" t="s">
        <v>50</v>
      </c>
      <c r="D661" t="s">
        <v>3</v>
      </c>
      <c r="E661" t="s">
        <v>201</v>
      </c>
      <c r="F661" s="2">
        <v>43924</v>
      </c>
      <c r="G661" s="3">
        <v>5</v>
      </c>
      <c r="H661" s="3">
        <v>5</v>
      </c>
      <c r="I661" s="3">
        <v>5</v>
      </c>
      <c r="J661" s="3">
        <v>5</v>
      </c>
      <c r="K661" s="3">
        <v>5</v>
      </c>
      <c r="L661" s="3">
        <v>5</v>
      </c>
      <c r="M661" s="3">
        <v>5</v>
      </c>
    </row>
    <row r="662" spans="1:13">
      <c r="A662" t="s">
        <v>105</v>
      </c>
      <c r="B662" t="s">
        <v>286</v>
      </c>
      <c r="C662" t="s">
        <v>198</v>
      </c>
      <c r="D662" t="s">
        <v>3</v>
      </c>
      <c r="E662" t="s">
        <v>558</v>
      </c>
      <c r="F662" s="2">
        <v>43863</v>
      </c>
      <c r="G662" s="3">
        <v>5</v>
      </c>
      <c r="H662" s="3">
        <v>5</v>
      </c>
      <c r="I662" s="3">
        <v>5</v>
      </c>
      <c r="J662" s="3">
        <v>5</v>
      </c>
      <c r="K662" s="3">
        <v>5</v>
      </c>
      <c r="L662" s="3">
        <v>5</v>
      </c>
      <c r="M662" s="3">
        <v>5</v>
      </c>
    </row>
    <row r="663" spans="1:13">
      <c r="A663" t="s">
        <v>77</v>
      </c>
      <c r="B663" t="s">
        <v>2</v>
      </c>
      <c r="C663" t="s">
        <v>198</v>
      </c>
      <c r="D663" t="s">
        <v>55</v>
      </c>
      <c r="E663" t="s">
        <v>12</v>
      </c>
      <c r="F663" s="2">
        <v>44048</v>
      </c>
      <c r="G663" s="3">
        <v>3</v>
      </c>
      <c r="H663" s="3">
        <v>1</v>
      </c>
      <c r="I663" s="3">
        <v>4</v>
      </c>
      <c r="J663" s="3">
        <v>1</v>
      </c>
      <c r="K663" s="3">
        <v>1</v>
      </c>
      <c r="L663" s="3">
        <v>4</v>
      </c>
      <c r="M663" s="3">
        <v>1</v>
      </c>
    </row>
    <row r="664" spans="1:13">
      <c r="A664" t="s">
        <v>681</v>
      </c>
      <c r="B664" t="s">
        <v>50</v>
      </c>
      <c r="C664" t="s">
        <v>50</v>
      </c>
      <c r="D664" t="s">
        <v>3</v>
      </c>
      <c r="E664" t="s">
        <v>23</v>
      </c>
      <c r="F664" s="2">
        <v>44014</v>
      </c>
      <c r="G664" s="3">
        <v>5</v>
      </c>
      <c r="H664" s="3">
        <v>5</v>
      </c>
      <c r="I664" s="3">
        <v>5</v>
      </c>
      <c r="J664" s="3">
        <v>5</v>
      </c>
      <c r="K664" s="3">
        <v>5</v>
      </c>
      <c r="L664" s="3">
        <v>5</v>
      </c>
      <c r="M664" s="3">
        <v>5</v>
      </c>
    </row>
    <row r="665" spans="1:13">
      <c r="A665" t="s">
        <v>366</v>
      </c>
      <c r="B665" t="s">
        <v>2</v>
      </c>
      <c r="C665" t="s">
        <v>198</v>
      </c>
      <c r="D665" t="s">
        <v>3</v>
      </c>
      <c r="E665" t="s">
        <v>23</v>
      </c>
      <c r="F665" s="2">
        <v>43623</v>
      </c>
      <c r="G665" s="3">
        <v>1</v>
      </c>
      <c r="H665" s="3">
        <v>4</v>
      </c>
      <c r="I665" s="3">
        <v>4</v>
      </c>
      <c r="J665" s="3">
        <v>4</v>
      </c>
      <c r="K665" s="3">
        <v>2</v>
      </c>
      <c r="L665" s="3">
        <v>4</v>
      </c>
      <c r="M665" s="3">
        <v>4</v>
      </c>
    </row>
    <row r="666" spans="1:13">
      <c r="A666" t="s">
        <v>124</v>
      </c>
      <c r="B666" t="s">
        <v>2</v>
      </c>
      <c r="C666" t="s">
        <v>198</v>
      </c>
      <c r="D666" t="s">
        <v>3</v>
      </c>
      <c r="E666" t="s">
        <v>26</v>
      </c>
      <c r="F666" s="2">
        <v>43986</v>
      </c>
      <c r="G666" s="3">
        <v>5</v>
      </c>
      <c r="H666" s="3">
        <v>4</v>
      </c>
      <c r="I666" s="3">
        <v>5</v>
      </c>
      <c r="J666" s="3">
        <v>1</v>
      </c>
      <c r="K666" s="3">
        <v>4</v>
      </c>
      <c r="L666" s="3">
        <v>1</v>
      </c>
      <c r="M666" s="3">
        <v>1</v>
      </c>
    </row>
    <row r="667" spans="1:13">
      <c r="A667" t="s">
        <v>554</v>
      </c>
      <c r="B667" t="s">
        <v>286</v>
      </c>
      <c r="C667" t="s">
        <v>198</v>
      </c>
      <c r="D667" t="s">
        <v>3</v>
      </c>
      <c r="E667" t="s">
        <v>12</v>
      </c>
      <c r="F667" s="2">
        <v>43747</v>
      </c>
      <c r="G667" s="3">
        <v>5</v>
      </c>
      <c r="H667" s="3">
        <v>3</v>
      </c>
      <c r="I667" s="3">
        <v>4</v>
      </c>
      <c r="J667" s="3">
        <v>1</v>
      </c>
      <c r="K667" s="3">
        <v>5</v>
      </c>
      <c r="L667" s="3">
        <v>5</v>
      </c>
      <c r="M667" s="3">
        <v>3</v>
      </c>
    </row>
    <row r="668" spans="1:13">
      <c r="A668" t="s">
        <v>558</v>
      </c>
      <c r="B668" t="s">
        <v>2</v>
      </c>
      <c r="C668" t="s">
        <v>198</v>
      </c>
      <c r="D668" t="s">
        <v>558</v>
      </c>
      <c r="E668" t="s">
        <v>558</v>
      </c>
      <c r="F668" s="2">
        <v>43715</v>
      </c>
      <c r="G668" s="3">
        <v>2</v>
      </c>
      <c r="H668" s="3">
        <v>2</v>
      </c>
      <c r="I668" s="3">
        <v>3</v>
      </c>
      <c r="J668" s="3">
        <v>4</v>
      </c>
      <c r="K668" s="3">
        <v>5</v>
      </c>
      <c r="L668" s="3">
        <v>4</v>
      </c>
      <c r="M668" s="3">
        <v>3</v>
      </c>
    </row>
    <row r="669" spans="1:13">
      <c r="A669" t="s">
        <v>558</v>
      </c>
      <c r="B669" t="s">
        <v>352</v>
      </c>
      <c r="C669" t="s">
        <v>358</v>
      </c>
      <c r="D669" t="s">
        <v>558</v>
      </c>
      <c r="E669" t="s">
        <v>558</v>
      </c>
      <c r="F669" s="2">
        <v>43835</v>
      </c>
      <c r="G669" s="3">
        <v>4</v>
      </c>
      <c r="H669" s="3">
        <v>4</v>
      </c>
      <c r="I669" s="3">
        <v>4</v>
      </c>
      <c r="J669" s="3">
        <v>4</v>
      </c>
      <c r="K669" s="3">
        <v>4</v>
      </c>
      <c r="L669" s="3">
        <v>5</v>
      </c>
      <c r="M669" s="3">
        <v>5</v>
      </c>
    </row>
    <row r="670" spans="1:13">
      <c r="A670" t="s">
        <v>353</v>
      </c>
      <c r="B670" t="s">
        <v>39</v>
      </c>
      <c r="C670" t="s">
        <v>358</v>
      </c>
      <c r="D670" t="s">
        <v>3</v>
      </c>
      <c r="E670" t="s">
        <v>619</v>
      </c>
      <c r="F670" s="2">
        <v>43715</v>
      </c>
      <c r="G670" s="3">
        <v>4</v>
      </c>
      <c r="H670" s="3">
        <v>5</v>
      </c>
      <c r="I670" s="3">
        <v>4</v>
      </c>
      <c r="J670" s="3">
        <v>4</v>
      </c>
      <c r="K670" s="3">
        <v>4</v>
      </c>
      <c r="L670" s="3">
        <v>5</v>
      </c>
      <c r="M670" s="3">
        <v>3</v>
      </c>
    </row>
    <row r="671" spans="1:13">
      <c r="A671" t="s">
        <v>126</v>
      </c>
      <c r="B671" t="s">
        <v>304</v>
      </c>
      <c r="C671" t="s">
        <v>579</v>
      </c>
      <c r="D671" t="s">
        <v>3</v>
      </c>
      <c r="E671" t="s">
        <v>619</v>
      </c>
      <c r="F671" s="2">
        <v>44046</v>
      </c>
      <c r="G671" s="3">
        <v>4</v>
      </c>
      <c r="H671" s="3">
        <v>4</v>
      </c>
      <c r="I671" s="3">
        <v>5</v>
      </c>
      <c r="J671" s="3">
        <v>4</v>
      </c>
      <c r="K671" s="3">
        <v>5</v>
      </c>
      <c r="L671" s="3">
        <v>4</v>
      </c>
      <c r="M671" s="3">
        <v>3</v>
      </c>
    </row>
    <row r="672" spans="1:13">
      <c r="A672" t="s">
        <v>550</v>
      </c>
      <c r="B672" t="s">
        <v>2</v>
      </c>
      <c r="C672" t="s">
        <v>198</v>
      </c>
      <c r="D672" t="s">
        <v>3</v>
      </c>
      <c r="E672" t="s">
        <v>354</v>
      </c>
      <c r="F672" s="2">
        <v>44930</v>
      </c>
      <c r="G672" s="3">
        <v>5</v>
      </c>
      <c r="H672" s="3">
        <v>4</v>
      </c>
      <c r="I672" s="3">
        <v>4</v>
      </c>
      <c r="J672" s="3">
        <v>4</v>
      </c>
      <c r="K672" s="3">
        <v>4</v>
      </c>
      <c r="L672" s="3">
        <v>5</v>
      </c>
      <c r="M672" s="3">
        <v>4</v>
      </c>
    </row>
    <row r="673" spans="1:13">
      <c r="A673" t="s">
        <v>324</v>
      </c>
      <c r="B673" t="s">
        <v>355</v>
      </c>
      <c r="C673" t="s">
        <v>569</v>
      </c>
      <c r="D673" t="s">
        <v>3</v>
      </c>
      <c r="E673" t="s">
        <v>603</v>
      </c>
      <c r="F673" s="2">
        <v>44384</v>
      </c>
      <c r="G673" s="3">
        <v>5</v>
      </c>
      <c r="H673" s="3">
        <v>5</v>
      </c>
      <c r="I673" s="3">
        <v>5</v>
      </c>
      <c r="J673" s="3">
        <v>5</v>
      </c>
      <c r="K673" s="3">
        <v>5</v>
      </c>
      <c r="L673" s="3">
        <v>5</v>
      </c>
      <c r="M673" s="3">
        <v>5</v>
      </c>
    </row>
    <row r="674" spans="1:13">
      <c r="A674" t="s">
        <v>356</v>
      </c>
      <c r="B674" t="s">
        <v>50</v>
      </c>
      <c r="C674" t="s">
        <v>50</v>
      </c>
      <c r="D674" t="s">
        <v>3</v>
      </c>
      <c r="E674" t="s">
        <v>15</v>
      </c>
      <c r="F674" s="2">
        <v>44812</v>
      </c>
      <c r="G674" s="3">
        <v>3</v>
      </c>
      <c r="H674" s="3">
        <v>4</v>
      </c>
      <c r="I674" s="3">
        <v>2</v>
      </c>
      <c r="J674" s="3">
        <v>2</v>
      </c>
      <c r="K674" s="3">
        <v>4</v>
      </c>
      <c r="L674" s="3">
        <v>3</v>
      </c>
      <c r="M674" s="3">
        <v>2</v>
      </c>
    </row>
    <row r="675" spans="1:13">
      <c r="A675" t="s">
        <v>1</v>
      </c>
      <c r="B675" t="s">
        <v>2</v>
      </c>
      <c r="C675" t="s">
        <v>198</v>
      </c>
      <c r="D675" t="s">
        <v>3</v>
      </c>
      <c r="E675" t="s">
        <v>4</v>
      </c>
      <c r="F675" s="2">
        <v>43955</v>
      </c>
      <c r="G675" s="3">
        <v>4</v>
      </c>
      <c r="H675" s="3">
        <v>3</v>
      </c>
      <c r="I675" s="3">
        <v>4</v>
      </c>
      <c r="J675" s="3">
        <v>4</v>
      </c>
      <c r="K675" s="3">
        <v>4</v>
      </c>
      <c r="L675" s="3">
        <v>4</v>
      </c>
      <c r="M675" s="3">
        <v>3</v>
      </c>
    </row>
    <row r="676" spans="1:13">
      <c r="A676" t="s">
        <v>16</v>
      </c>
      <c r="B676" t="s">
        <v>2</v>
      </c>
      <c r="C676" t="s">
        <v>198</v>
      </c>
      <c r="D676" t="s">
        <v>3</v>
      </c>
      <c r="E676" t="s">
        <v>23</v>
      </c>
      <c r="F676" s="2">
        <v>43532</v>
      </c>
      <c r="G676" s="3">
        <v>3</v>
      </c>
      <c r="H676" s="3">
        <v>3</v>
      </c>
      <c r="I676" s="3">
        <v>4</v>
      </c>
      <c r="J676" s="3">
        <v>4</v>
      </c>
      <c r="K676" s="3">
        <v>4</v>
      </c>
      <c r="L676" s="3">
        <v>4</v>
      </c>
      <c r="M676" s="3">
        <v>3</v>
      </c>
    </row>
    <row r="677" spans="1:13">
      <c r="A677" t="s">
        <v>126</v>
      </c>
      <c r="B677" t="s">
        <v>558</v>
      </c>
      <c r="C677" t="s">
        <v>558</v>
      </c>
      <c r="D677" t="s">
        <v>3</v>
      </c>
      <c r="E677" t="s">
        <v>627</v>
      </c>
      <c r="F677" s="2">
        <v>43590</v>
      </c>
      <c r="G677" s="3">
        <v>5</v>
      </c>
      <c r="H677" s="3">
        <v>4</v>
      </c>
      <c r="I677" s="3">
        <v>2</v>
      </c>
      <c r="J677" s="3">
        <v>4</v>
      </c>
      <c r="K677" s="3">
        <v>4</v>
      </c>
      <c r="L677" s="3">
        <v>2</v>
      </c>
      <c r="M677" s="3">
        <v>2</v>
      </c>
    </row>
    <row r="678" spans="1:13">
      <c r="A678" t="s">
        <v>30</v>
      </c>
      <c r="B678" t="s">
        <v>2</v>
      </c>
      <c r="C678" t="s">
        <v>198</v>
      </c>
      <c r="D678" t="s">
        <v>3</v>
      </c>
      <c r="E678" t="s">
        <v>12</v>
      </c>
      <c r="F678" s="2">
        <v>45053</v>
      </c>
      <c r="G678" s="3">
        <v>4</v>
      </c>
      <c r="H678" s="3">
        <v>4</v>
      </c>
      <c r="I678" s="3">
        <v>4</v>
      </c>
      <c r="J678" s="3">
        <v>4</v>
      </c>
      <c r="K678" s="3">
        <v>5</v>
      </c>
      <c r="L678" s="3">
        <v>5</v>
      </c>
      <c r="M678" s="3">
        <v>4</v>
      </c>
    </row>
    <row r="679" spans="1:13">
      <c r="A679" t="s">
        <v>357</v>
      </c>
      <c r="B679" t="s">
        <v>2</v>
      </c>
      <c r="C679" t="s">
        <v>198</v>
      </c>
      <c r="D679" t="s">
        <v>3</v>
      </c>
      <c r="E679" t="s">
        <v>26</v>
      </c>
      <c r="F679" s="2">
        <v>43864</v>
      </c>
      <c r="G679" s="3">
        <v>5</v>
      </c>
      <c r="H679" s="3">
        <v>5</v>
      </c>
      <c r="I679" s="3">
        <v>5</v>
      </c>
      <c r="J679" s="3">
        <v>5</v>
      </c>
      <c r="K679" s="3">
        <v>5</v>
      </c>
      <c r="L679" s="3">
        <v>5</v>
      </c>
      <c r="M679" s="3">
        <v>5</v>
      </c>
    </row>
    <row r="680" spans="1:13">
      <c r="A680" t="s">
        <v>1</v>
      </c>
      <c r="B680" t="s">
        <v>558</v>
      </c>
      <c r="C680" t="s">
        <v>558</v>
      </c>
      <c r="D680" t="s">
        <v>3</v>
      </c>
      <c r="E680" t="s">
        <v>4</v>
      </c>
      <c r="F680" s="2">
        <v>43831</v>
      </c>
      <c r="G680" s="3">
        <v>5</v>
      </c>
      <c r="H680" s="3">
        <v>4</v>
      </c>
      <c r="I680" s="3">
        <v>4</v>
      </c>
      <c r="J680" s="3">
        <v>5</v>
      </c>
      <c r="K680" s="3">
        <v>5</v>
      </c>
      <c r="L680" s="3">
        <v>5</v>
      </c>
      <c r="M680" s="3">
        <v>5</v>
      </c>
    </row>
    <row r="681" spans="1:13">
      <c r="A681" t="s">
        <v>77</v>
      </c>
      <c r="B681" t="s">
        <v>2</v>
      </c>
      <c r="C681" t="s">
        <v>198</v>
      </c>
      <c r="D681" t="s">
        <v>55</v>
      </c>
      <c r="E681" t="s">
        <v>4</v>
      </c>
      <c r="F681" s="2">
        <v>43742</v>
      </c>
      <c r="G681" s="3">
        <v>5</v>
      </c>
      <c r="H681" s="3">
        <v>4</v>
      </c>
      <c r="I681" s="3">
        <v>4</v>
      </c>
      <c r="J681" s="3">
        <v>5</v>
      </c>
      <c r="K681" s="3">
        <v>5</v>
      </c>
      <c r="L681" s="3">
        <v>5</v>
      </c>
      <c r="M681" s="3">
        <v>5</v>
      </c>
    </row>
    <row r="682" spans="1:13">
      <c r="A682" t="s">
        <v>126</v>
      </c>
      <c r="B682" t="s">
        <v>358</v>
      </c>
      <c r="C682" t="s">
        <v>358</v>
      </c>
      <c r="D682" t="s">
        <v>3</v>
      </c>
      <c r="E682" t="s">
        <v>359</v>
      </c>
      <c r="F682" s="2">
        <v>43957</v>
      </c>
      <c r="G682" s="3">
        <v>5</v>
      </c>
      <c r="H682" s="3">
        <v>5</v>
      </c>
      <c r="I682" s="3">
        <v>5</v>
      </c>
      <c r="J682" s="3">
        <v>5</v>
      </c>
      <c r="K682" s="3">
        <v>5</v>
      </c>
      <c r="L682" s="3">
        <v>5</v>
      </c>
      <c r="M682" s="3">
        <v>5</v>
      </c>
    </row>
    <row r="683" spans="1:13">
      <c r="A683" t="s">
        <v>360</v>
      </c>
      <c r="B683" t="s">
        <v>2</v>
      </c>
      <c r="C683" t="s">
        <v>198</v>
      </c>
      <c r="D683" t="s">
        <v>3</v>
      </c>
      <c r="E683" t="s">
        <v>4</v>
      </c>
      <c r="F683" s="2">
        <v>44168</v>
      </c>
      <c r="G683" s="3">
        <v>4</v>
      </c>
      <c r="H683" s="3">
        <v>5</v>
      </c>
      <c r="I683" s="3">
        <v>5</v>
      </c>
      <c r="J683" s="3">
        <v>5</v>
      </c>
      <c r="K683" s="3">
        <v>5</v>
      </c>
      <c r="L683" s="3">
        <v>5</v>
      </c>
      <c r="M683" s="3">
        <v>5</v>
      </c>
    </row>
    <row r="684" spans="1:13">
      <c r="A684" t="s">
        <v>1</v>
      </c>
      <c r="B684" t="s">
        <v>2</v>
      </c>
      <c r="C684" t="s">
        <v>198</v>
      </c>
      <c r="D684" t="s">
        <v>3</v>
      </c>
      <c r="E684" t="s">
        <v>15</v>
      </c>
      <c r="F684" s="2">
        <v>43556</v>
      </c>
      <c r="G684" s="3">
        <v>3</v>
      </c>
      <c r="H684" s="3">
        <v>5</v>
      </c>
      <c r="I684" s="3">
        <v>5</v>
      </c>
      <c r="J684" s="3">
        <v>5</v>
      </c>
      <c r="K684" s="3">
        <v>5</v>
      </c>
      <c r="L684" s="3">
        <v>5</v>
      </c>
      <c r="M684" s="3">
        <v>5</v>
      </c>
    </row>
    <row r="685" spans="1:13">
      <c r="A685" t="s">
        <v>1</v>
      </c>
      <c r="B685" t="s">
        <v>2</v>
      </c>
      <c r="C685" t="s">
        <v>198</v>
      </c>
      <c r="D685" t="s">
        <v>3</v>
      </c>
      <c r="E685" t="s">
        <v>26</v>
      </c>
      <c r="F685" s="2">
        <v>43747</v>
      </c>
      <c r="G685" s="3">
        <v>4</v>
      </c>
      <c r="H685" s="3">
        <v>5</v>
      </c>
      <c r="I685" s="3">
        <v>4</v>
      </c>
      <c r="J685" s="3">
        <v>4</v>
      </c>
      <c r="K685" s="3">
        <v>5</v>
      </c>
      <c r="L685" s="3">
        <v>5</v>
      </c>
      <c r="M685" s="3">
        <v>5</v>
      </c>
    </row>
    <row r="686" spans="1:13">
      <c r="A686" t="s">
        <v>361</v>
      </c>
      <c r="B686" t="s">
        <v>362</v>
      </c>
      <c r="C686" t="s">
        <v>574</v>
      </c>
      <c r="D686" t="s">
        <v>3</v>
      </c>
      <c r="E686" t="s">
        <v>363</v>
      </c>
      <c r="F686" s="2">
        <v>43650</v>
      </c>
      <c r="G686" s="3">
        <v>4</v>
      </c>
      <c r="H686" s="3">
        <v>3</v>
      </c>
      <c r="I686" s="3">
        <v>2</v>
      </c>
      <c r="J686" s="3">
        <v>2</v>
      </c>
      <c r="K686" s="3">
        <v>5</v>
      </c>
      <c r="L686" s="3">
        <v>3</v>
      </c>
      <c r="M686" s="3">
        <v>2</v>
      </c>
    </row>
    <row r="687" spans="1:13">
      <c r="A687" t="s">
        <v>601</v>
      </c>
      <c r="B687" t="s">
        <v>50</v>
      </c>
      <c r="C687" t="s">
        <v>50</v>
      </c>
      <c r="D687" t="s">
        <v>3</v>
      </c>
      <c r="E687" t="s">
        <v>364</v>
      </c>
      <c r="F687" s="2">
        <v>43777</v>
      </c>
      <c r="G687" s="3">
        <v>4</v>
      </c>
      <c r="H687" s="3">
        <v>4</v>
      </c>
      <c r="I687" s="3">
        <v>5</v>
      </c>
      <c r="J687" s="3">
        <v>4</v>
      </c>
      <c r="K687" s="3">
        <v>5</v>
      </c>
      <c r="L687" s="3">
        <v>4</v>
      </c>
      <c r="M687" s="3">
        <v>4</v>
      </c>
    </row>
    <row r="688" spans="1:13">
      <c r="A688" t="s">
        <v>107</v>
      </c>
      <c r="B688" t="s">
        <v>2</v>
      </c>
      <c r="C688" t="s">
        <v>198</v>
      </c>
      <c r="D688" t="s">
        <v>3</v>
      </c>
      <c r="E688" t="s">
        <v>4</v>
      </c>
      <c r="F688" s="2">
        <v>44381</v>
      </c>
      <c r="G688" s="3">
        <v>3</v>
      </c>
      <c r="H688" s="3">
        <v>2</v>
      </c>
      <c r="I688" s="3">
        <v>3</v>
      </c>
      <c r="J688" s="3">
        <v>2</v>
      </c>
      <c r="K688" s="3">
        <v>4</v>
      </c>
      <c r="L688" s="3">
        <v>2</v>
      </c>
      <c r="M688" s="3">
        <v>3</v>
      </c>
    </row>
    <row r="689" spans="1:13">
      <c r="A689" t="s">
        <v>254</v>
      </c>
      <c r="B689" t="s">
        <v>365</v>
      </c>
      <c r="C689" t="s">
        <v>570</v>
      </c>
      <c r="D689" t="s">
        <v>3</v>
      </c>
      <c r="E689" t="s">
        <v>326</v>
      </c>
      <c r="F689" s="2">
        <v>43747</v>
      </c>
      <c r="G689" s="3">
        <v>5</v>
      </c>
      <c r="H689" s="3">
        <v>5</v>
      </c>
      <c r="I689" s="3">
        <v>5</v>
      </c>
      <c r="J689" s="3">
        <v>5</v>
      </c>
      <c r="K689" s="3">
        <v>5</v>
      </c>
      <c r="L689" s="3">
        <v>5</v>
      </c>
      <c r="M689" s="3">
        <v>5</v>
      </c>
    </row>
    <row r="690" spans="1:13">
      <c r="A690" t="s">
        <v>126</v>
      </c>
      <c r="B690" t="s">
        <v>50</v>
      </c>
      <c r="C690" t="s">
        <v>50</v>
      </c>
      <c r="D690" t="s">
        <v>3</v>
      </c>
      <c r="E690" t="s">
        <v>148</v>
      </c>
      <c r="F690" s="2">
        <v>43647</v>
      </c>
      <c r="G690" s="3">
        <v>3</v>
      </c>
      <c r="H690" s="3">
        <v>2</v>
      </c>
      <c r="I690" s="3">
        <v>3</v>
      </c>
      <c r="J690" s="3">
        <v>3</v>
      </c>
      <c r="K690" s="3">
        <v>1</v>
      </c>
      <c r="L690" s="3">
        <v>1</v>
      </c>
      <c r="M690" s="3">
        <v>1</v>
      </c>
    </row>
    <row r="691" spans="1:13">
      <c r="A691" t="s">
        <v>682</v>
      </c>
      <c r="B691" t="s">
        <v>78</v>
      </c>
      <c r="C691" t="s">
        <v>569</v>
      </c>
      <c r="D691" t="s">
        <v>3</v>
      </c>
      <c r="E691" t="s">
        <v>627</v>
      </c>
      <c r="F691" s="2">
        <v>43530</v>
      </c>
      <c r="G691" s="3">
        <v>5</v>
      </c>
      <c r="H691" s="3">
        <v>5</v>
      </c>
      <c r="I691" s="3">
        <v>5</v>
      </c>
      <c r="J691" s="3">
        <v>5</v>
      </c>
      <c r="K691" s="3">
        <v>4</v>
      </c>
      <c r="L691" s="3">
        <v>4</v>
      </c>
      <c r="M691" s="3">
        <v>5</v>
      </c>
    </row>
    <row r="692" spans="1:13">
      <c r="A692" t="s">
        <v>105</v>
      </c>
      <c r="B692" t="s">
        <v>2</v>
      </c>
      <c r="C692" t="s">
        <v>198</v>
      </c>
      <c r="D692" t="s">
        <v>3</v>
      </c>
      <c r="E692" t="s">
        <v>12</v>
      </c>
      <c r="F692" s="2">
        <v>43532</v>
      </c>
      <c r="G692" s="3">
        <v>4</v>
      </c>
      <c r="H692" s="3">
        <v>3</v>
      </c>
      <c r="I692" s="3">
        <v>4</v>
      </c>
      <c r="J692" s="3">
        <v>4</v>
      </c>
      <c r="K692" s="3">
        <v>3</v>
      </c>
      <c r="L692" s="3">
        <v>3</v>
      </c>
      <c r="M692" s="3">
        <v>4</v>
      </c>
    </row>
    <row r="693" spans="1:13">
      <c r="A693" t="s">
        <v>366</v>
      </c>
      <c r="B693" t="s">
        <v>2</v>
      </c>
      <c r="C693" t="s">
        <v>198</v>
      </c>
      <c r="D693" t="s">
        <v>3</v>
      </c>
      <c r="E693" t="s">
        <v>23</v>
      </c>
      <c r="F693" s="2">
        <v>43833</v>
      </c>
      <c r="G693" s="3">
        <v>5</v>
      </c>
      <c r="H693" s="3">
        <v>2</v>
      </c>
      <c r="I693" s="3">
        <v>5</v>
      </c>
      <c r="J693" s="3">
        <v>5</v>
      </c>
      <c r="K693" s="3">
        <v>2</v>
      </c>
      <c r="L693" s="3">
        <v>5</v>
      </c>
      <c r="M693" s="3">
        <v>4</v>
      </c>
    </row>
    <row r="694" spans="1:13">
      <c r="A694" t="s">
        <v>683</v>
      </c>
      <c r="B694" t="s">
        <v>78</v>
      </c>
      <c r="C694" t="s">
        <v>569</v>
      </c>
      <c r="D694" t="s">
        <v>3</v>
      </c>
      <c r="E694" t="s">
        <v>6</v>
      </c>
      <c r="F694" s="2">
        <v>43466</v>
      </c>
      <c r="G694" s="3">
        <v>4</v>
      </c>
      <c r="H694" s="3">
        <v>1</v>
      </c>
      <c r="I694" s="3">
        <v>1</v>
      </c>
      <c r="J694" s="3">
        <v>1</v>
      </c>
      <c r="K694" s="3">
        <v>1</v>
      </c>
      <c r="L694" s="3">
        <v>1</v>
      </c>
      <c r="M694" s="3">
        <v>1</v>
      </c>
    </row>
    <row r="695" spans="1:13">
      <c r="A695" t="s">
        <v>367</v>
      </c>
      <c r="B695" t="s">
        <v>564</v>
      </c>
      <c r="C695" t="s">
        <v>50</v>
      </c>
      <c r="D695" t="s">
        <v>3</v>
      </c>
      <c r="E695" t="s">
        <v>543</v>
      </c>
      <c r="F695" s="2">
        <v>43839</v>
      </c>
      <c r="G695" s="3">
        <v>5</v>
      </c>
      <c r="H695" s="3">
        <v>4</v>
      </c>
      <c r="I695" s="3">
        <v>5</v>
      </c>
      <c r="J695" s="3">
        <v>4</v>
      </c>
      <c r="K695" s="3">
        <v>3</v>
      </c>
      <c r="L695" s="3">
        <v>5</v>
      </c>
      <c r="M695" s="3">
        <v>5</v>
      </c>
    </row>
    <row r="696" spans="1:13">
      <c r="A696" t="s">
        <v>368</v>
      </c>
      <c r="B696" t="s">
        <v>2</v>
      </c>
      <c r="C696" t="s">
        <v>198</v>
      </c>
      <c r="D696" t="s">
        <v>3</v>
      </c>
      <c r="E696" t="s">
        <v>685</v>
      </c>
      <c r="F696" s="2">
        <v>43898</v>
      </c>
      <c r="G696" s="3">
        <v>4</v>
      </c>
      <c r="H696" s="3">
        <v>4</v>
      </c>
      <c r="I696" s="3">
        <v>4</v>
      </c>
      <c r="J696" s="3">
        <v>4</v>
      </c>
      <c r="K696" s="3">
        <v>4</v>
      </c>
      <c r="L696" s="3">
        <v>4</v>
      </c>
      <c r="M696" s="3">
        <v>5</v>
      </c>
    </row>
    <row r="697" spans="1:13">
      <c r="A697" t="s">
        <v>551</v>
      </c>
      <c r="B697" t="s">
        <v>2</v>
      </c>
      <c r="C697" t="s">
        <v>198</v>
      </c>
      <c r="D697" t="s">
        <v>3</v>
      </c>
      <c r="E697" t="s">
        <v>43</v>
      </c>
      <c r="F697" s="2">
        <v>43532</v>
      </c>
      <c r="G697" s="3">
        <v>3</v>
      </c>
      <c r="H697" s="3">
        <v>4</v>
      </c>
      <c r="I697" s="3">
        <v>4</v>
      </c>
      <c r="J697" s="3">
        <v>4</v>
      </c>
      <c r="K697" s="3">
        <v>4</v>
      </c>
      <c r="L697" s="3">
        <v>5</v>
      </c>
      <c r="M697" s="3">
        <v>3</v>
      </c>
    </row>
    <row r="698" spans="1:13">
      <c r="A698" t="s">
        <v>558</v>
      </c>
      <c r="B698" t="s">
        <v>195</v>
      </c>
      <c r="C698" t="s">
        <v>569</v>
      </c>
      <c r="D698" t="s">
        <v>558</v>
      </c>
      <c r="E698" t="s">
        <v>558</v>
      </c>
      <c r="F698" s="2">
        <v>43800</v>
      </c>
      <c r="G698" s="3">
        <v>5</v>
      </c>
      <c r="H698" s="3">
        <v>5</v>
      </c>
      <c r="I698" s="3">
        <v>5</v>
      </c>
      <c r="J698" s="3">
        <v>5</v>
      </c>
      <c r="K698" s="3">
        <v>5</v>
      </c>
      <c r="L698" s="3">
        <v>5</v>
      </c>
      <c r="M698" s="3">
        <v>5</v>
      </c>
    </row>
    <row r="699" spans="1:13">
      <c r="A699" t="s">
        <v>11</v>
      </c>
      <c r="B699" t="s">
        <v>286</v>
      </c>
      <c r="C699" t="s">
        <v>198</v>
      </c>
      <c r="D699" t="s">
        <v>3</v>
      </c>
      <c r="E699" t="s">
        <v>15</v>
      </c>
      <c r="F699" s="2">
        <v>43531</v>
      </c>
      <c r="G699" s="3">
        <v>4</v>
      </c>
      <c r="H699" s="3">
        <v>3</v>
      </c>
      <c r="I699" s="3">
        <v>5</v>
      </c>
      <c r="J699" s="3">
        <v>4</v>
      </c>
      <c r="K699" s="3">
        <v>5</v>
      </c>
      <c r="L699" s="3">
        <v>5</v>
      </c>
      <c r="M699" s="3">
        <v>4</v>
      </c>
    </row>
    <row r="700" spans="1:13">
      <c r="A700" t="s">
        <v>77</v>
      </c>
      <c r="B700" t="s">
        <v>2</v>
      </c>
      <c r="C700" t="s">
        <v>198</v>
      </c>
      <c r="D700" t="s">
        <v>55</v>
      </c>
      <c r="E700" t="s">
        <v>15</v>
      </c>
      <c r="F700" s="2">
        <v>43832</v>
      </c>
      <c r="G700" s="3">
        <v>5</v>
      </c>
      <c r="H700" s="3">
        <v>4</v>
      </c>
      <c r="I700" s="3">
        <v>4</v>
      </c>
      <c r="J700" s="3">
        <v>4</v>
      </c>
      <c r="K700" s="3">
        <v>5</v>
      </c>
      <c r="L700" s="3">
        <v>5</v>
      </c>
      <c r="M700" s="3">
        <v>5</v>
      </c>
    </row>
    <row r="701" spans="1:13">
      <c r="A701" t="s">
        <v>7</v>
      </c>
      <c r="B701" t="s">
        <v>192</v>
      </c>
      <c r="C701" t="s">
        <v>192</v>
      </c>
      <c r="D701" t="s">
        <v>3</v>
      </c>
      <c r="E701" t="s">
        <v>619</v>
      </c>
      <c r="F701" s="2">
        <v>43502</v>
      </c>
      <c r="G701" s="3">
        <v>5</v>
      </c>
      <c r="H701" s="3">
        <v>4</v>
      </c>
      <c r="I701" s="3">
        <v>4</v>
      </c>
      <c r="J701" s="3">
        <v>4</v>
      </c>
      <c r="K701" s="3">
        <v>5</v>
      </c>
      <c r="L701" s="3">
        <v>5</v>
      </c>
      <c r="M701" s="3">
        <v>5</v>
      </c>
    </row>
    <row r="702" spans="1:13">
      <c r="A702" t="s">
        <v>535</v>
      </c>
      <c r="B702" t="s">
        <v>78</v>
      </c>
      <c r="C702" t="s">
        <v>569</v>
      </c>
      <c r="D702" t="s">
        <v>3</v>
      </c>
      <c r="E702" t="s">
        <v>369</v>
      </c>
      <c r="F702" s="2">
        <v>43652</v>
      </c>
      <c r="G702" s="3">
        <v>4</v>
      </c>
      <c r="H702" s="3">
        <v>4</v>
      </c>
      <c r="I702" s="3">
        <v>5</v>
      </c>
      <c r="J702" s="3">
        <v>4</v>
      </c>
      <c r="K702" s="3">
        <v>5</v>
      </c>
      <c r="L702" s="3">
        <v>5</v>
      </c>
      <c r="M702" s="3">
        <v>5</v>
      </c>
    </row>
    <row r="703" spans="1:13">
      <c r="A703" t="s">
        <v>295</v>
      </c>
      <c r="B703" t="s">
        <v>558</v>
      </c>
      <c r="C703" t="s">
        <v>558</v>
      </c>
      <c r="D703" t="s">
        <v>3</v>
      </c>
      <c r="E703" t="s">
        <v>4</v>
      </c>
      <c r="F703" s="2">
        <v>43564</v>
      </c>
      <c r="G703" s="3">
        <v>5</v>
      </c>
      <c r="H703" s="3">
        <v>5</v>
      </c>
      <c r="I703" s="3">
        <v>5</v>
      </c>
      <c r="J703" s="3">
        <v>4</v>
      </c>
      <c r="K703" s="3">
        <v>1</v>
      </c>
      <c r="L703" s="3">
        <v>1</v>
      </c>
      <c r="M703" s="3">
        <v>1</v>
      </c>
    </row>
    <row r="704" spans="1:13">
      <c r="A704" t="s">
        <v>107</v>
      </c>
      <c r="B704" t="s">
        <v>2</v>
      </c>
      <c r="C704" t="s">
        <v>198</v>
      </c>
      <c r="D704" t="s">
        <v>3</v>
      </c>
      <c r="E704" t="s">
        <v>4</v>
      </c>
      <c r="F704" s="2">
        <v>43559</v>
      </c>
      <c r="G704" s="3">
        <v>4</v>
      </c>
      <c r="H704" s="3">
        <v>5</v>
      </c>
      <c r="I704" s="3">
        <v>5</v>
      </c>
      <c r="J704" s="3">
        <v>5</v>
      </c>
      <c r="K704" s="3">
        <v>5</v>
      </c>
      <c r="L704" s="3">
        <v>5</v>
      </c>
      <c r="M704" s="3">
        <v>4</v>
      </c>
    </row>
    <row r="705" spans="1:13">
      <c r="A705" t="s">
        <v>684</v>
      </c>
      <c r="B705" t="s">
        <v>118</v>
      </c>
      <c r="C705" t="s">
        <v>579</v>
      </c>
      <c r="D705" t="s">
        <v>3</v>
      </c>
      <c r="E705" t="s">
        <v>686</v>
      </c>
      <c r="F705" s="2">
        <v>43862</v>
      </c>
      <c r="G705" s="3">
        <v>4</v>
      </c>
      <c r="H705" s="3">
        <v>4</v>
      </c>
      <c r="I705" s="3">
        <v>5</v>
      </c>
      <c r="J705" s="3">
        <v>4</v>
      </c>
      <c r="K705" s="3">
        <v>4</v>
      </c>
      <c r="L705" s="3">
        <v>5</v>
      </c>
      <c r="M705" s="3">
        <v>4</v>
      </c>
    </row>
    <row r="706" spans="1:13">
      <c r="A706" t="s">
        <v>370</v>
      </c>
      <c r="B706" t="s">
        <v>50</v>
      </c>
      <c r="C706" t="s">
        <v>50</v>
      </c>
      <c r="D706" t="s">
        <v>3</v>
      </c>
      <c r="E706" t="s">
        <v>687</v>
      </c>
      <c r="F706" s="2">
        <v>43739</v>
      </c>
      <c r="G706" s="3">
        <v>3</v>
      </c>
      <c r="H706" s="3">
        <v>4</v>
      </c>
      <c r="I706" s="3">
        <v>4</v>
      </c>
      <c r="J706" s="3">
        <v>4</v>
      </c>
      <c r="K706" s="3">
        <v>5</v>
      </c>
      <c r="L706" s="3">
        <v>4</v>
      </c>
      <c r="M706" s="3">
        <v>5</v>
      </c>
    </row>
    <row r="707" spans="1:13">
      <c r="A707" t="s">
        <v>282</v>
      </c>
      <c r="B707" t="s">
        <v>193</v>
      </c>
      <c r="C707" t="s">
        <v>572</v>
      </c>
      <c r="D707" t="s">
        <v>3</v>
      </c>
      <c r="E707" t="s">
        <v>122</v>
      </c>
      <c r="F707" s="2">
        <v>43831</v>
      </c>
      <c r="G707" s="3">
        <v>5</v>
      </c>
      <c r="H707" s="3">
        <v>4</v>
      </c>
      <c r="I707" s="3">
        <v>4</v>
      </c>
      <c r="J707" s="3">
        <v>4</v>
      </c>
      <c r="K707" s="3">
        <v>5</v>
      </c>
      <c r="L707" s="3">
        <v>4</v>
      </c>
      <c r="M707" s="3">
        <v>5</v>
      </c>
    </row>
    <row r="708" spans="1:13">
      <c r="A708" t="s">
        <v>371</v>
      </c>
      <c r="B708" t="s">
        <v>2</v>
      </c>
      <c r="C708" t="s">
        <v>198</v>
      </c>
      <c r="D708" t="s">
        <v>3</v>
      </c>
      <c r="E708" t="s">
        <v>23</v>
      </c>
      <c r="F708" s="2">
        <v>43647</v>
      </c>
      <c r="G708" s="3">
        <v>5</v>
      </c>
      <c r="H708" s="3">
        <v>3</v>
      </c>
      <c r="I708" s="3">
        <v>5</v>
      </c>
      <c r="J708" s="3">
        <v>5</v>
      </c>
      <c r="K708" s="3">
        <v>5</v>
      </c>
      <c r="L708" s="3">
        <v>5</v>
      </c>
      <c r="M708" s="3">
        <v>5</v>
      </c>
    </row>
    <row r="709" spans="1:13">
      <c r="A709" t="s">
        <v>19</v>
      </c>
      <c r="B709" t="s">
        <v>286</v>
      </c>
      <c r="C709" t="s">
        <v>198</v>
      </c>
      <c r="D709" t="s">
        <v>3</v>
      </c>
      <c r="E709" t="s">
        <v>79</v>
      </c>
      <c r="F709" s="2">
        <v>43716</v>
      </c>
      <c r="G709" s="3">
        <v>5</v>
      </c>
      <c r="H709" s="3">
        <v>5</v>
      </c>
      <c r="I709" s="3">
        <v>5</v>
      </c>
      <c r="J709" s="3">
        <v>2</v>
      </c>
      <c r="K709" s="3">
        <v>5</v>
      </c>
      <c r="L709" s="3">
        <v>4</v>
      </c>
      <c r="M709" s="3">
        <v>5</v>
      </c>
    </row>
    <row r="710" spans="1:13">
      <c r="A710" t="s">
        <v>602</v>
      </c>
      <c r="B710" t="s">
        <v>558</v>
      </c>
      <c r="C710" t="s">
        <v>558</v>
      </c>
      <c r="D710" t="s">
        <v>3</v>
      </c>
      <c r="E710" t="s">
        <v>372</v>
      </c>
      <c r="F710" s="2">
        <v>43714</v>
      </c>
      <c r="G710" s="3">
        <v>4</v>
      </c>
      <c r="H710" s="3">
        <v>4</v>
      </c>
      <c r="I710" s="3">
        <v>4</v>
      </c>
      <c r="J710" s="3">
        <v>5</v>
      </c>
      <c r="K710" s="3">
        <v>5</v>
      </c>
      <c r="L710" s="3">
        <v>4</v>
      </c>
      <c r="M710" s="3">
        <v>4</v>
      </c>
    </row>
    <row r="711" spans="1:13">
      <c r="A711" t="s">
        <v>535</v>
      </c>
      <c r="B711" t="s">
        <v>564</v>
      </c>
      <c r="C711" t="s">
        <v>50</v>
      </c>
      <c r="D711" t="s">
        <v>3</v>
      </c>
      <c r="E711" t="s">
        <v>373</v>
      </c>
      <c r="F711" s="2">
        <v>43807</v>
      </c>
      <c r="G711" s="3">
        <v>5</v>
      </c>
      <c r="H711" s="3">
        <v>5</v>
      </c>
      <c r="I711" s="3">
        <v>5</v>
      </c>
      <c r="J711" s="3">
        <v>5</v>
      </c>
      <c r="K711" s="3">
        <v>5</v>
      </c>
      <c r="L711" s="3">
        <v>5</v>
      </c>
      <c r="M711" s="3">
        <v>3</v>
      </c>
    </row>
    <row r="712" spans="1:13">
      <c r="A712" t="s">
        <v>94</v>
      </c>
      <c r="B712" t="s">
        <v>8</v>
      </c>
      <c r="C712" t="s">
        <v>570</v>
      </c>
      <c r="D712" t="s">
        <v>3</v>
      </c>
      <c r="E712" t="s">
        <v>23</v>
      </c>
      <c r="F712" s="2">
        <v>43436</v>
      </c>
      <c r="G712" s="3">
        <v>4</v>
      </c>
      <c r="H712" s="3">
        <v>3</v>
      </c>
      <c r="I712" s="3">
        <v>4</v>
      </c>
      <c r="J712" s="3">
        <v>3</v>
      </c>
      <c r="K712" s="3">
        <v>4</v>
      </c>
      <c r="L712" s="3">
        <v>4</v>
      </c>
      <c r="M712" s="3">
        <v>4</v>
      </c>
    </row>
    <row r="713" spans="1:13">
      <c r="A713" t="s">
        <v>604</v>
      </c>
      <c r="B713" t="s">
        <v>374</v>
      </c>
      <c r="C713" t="s">
        <v>574</v>
      </c>
      <c r="D713" t="s">
        <v>74</v>
      </c>
      <c r="E713" t="s">
        <v>4</v>
      </c>
      <c r="F713" s="2">
        <v>43715</v>
      </c>
      <c r="G713" s="3">
        <v>4</v>
      </c>
      <c r="H713" s="3">
        <v>3</v>
      </c>
      <c r="I713" s="3">
        <v>4</v>
      </c>
      <c r="J713" s="3">
        <v>3</v>
      </c>
      <c r="K713" s="3">
        <v>4</v>
      </c>
      <c r="L713" s="3">
        <v>3</v>
      </c>
      <c r="M713" s="3">
        <v>4</v>
      </c>
    </row>
    <row r="714" spans="1:13">
      <c r="A714" t="s">
        <v>40</v>
      </c>
      <c r="B714" t="s">
        <v>32</v>
      </c>
      <c r="C714" t="s">
        <v>567</v>
      </c>
      <c r="D714" t="s">
        <v>3</v>
      </c>
      <c r="E714" t="s">
        <v>146</v>
      </c>
      <c r="F714" s="2">
        <v>43435</v>
      </c>
      <c r="G714" s="3">
        <v>4</v>
      </c>
      <c r="H714" s="3">
        <v>2</v>
      </c>
      <c r="I714" s="3">
        <v>2</v>
      </c>
      <c r="J714" s="3">
        <v>4</v>
      </c>
      <c r="K714" s="3">
        <v>5</v>
      </c>
      <c r="L714" s="3">
        <v>3</v>
      </c>
      <c r="M714" s="3">
        <v>4</v>
      </c>
    </row>
    <row r="715" spans="1:13">
      <c r="A715" t="s">
        <v>535</v>
      </c>
      <c r="B715" t="s">
        <v>375</v>
      </c>
      <c r="C715" t="s">
        <v>581</v>
      </c>
      <c r="D715" t="s">
        <v>3</v>
      </c>
      <c r="E715" t="s">
        <v>376</v>
      </c>
      <c r="F715" s="2">
        <v>43743</v>
      </c>
      <c r="G715" s="3">
        <v>5</v>
      </c>
      <c r="H715" s="3">
        <v>5</v>
      </c>
      <c r="I715" s="3">
        <v>5</v>
      </c>
      <c r="J715" s="3">
        <v>5</v>
      </c>
      <c r="K715" s="3">
        <v>5</v>
      </c>
      <c r="L715" s="3">
        <v>5</v>
      </c>
      <c r="M715" s="3">
        <v>5</v>
      </c>
    </row>
    <row r="716" spans="1:13">
      <c r="A716" t="s">
        <v>30</v>
      </c>
      <c r="B716" t="s">
        <v>2</v>
      </c>
      <c r="C716" t="s">
        <v>198</v>
      </c>
      <c r="D716" t="s">
        <v>3</v>
      </c>
      <c r="E716" t="s">
        <v>317</v>
      </c>
      <c r="F716" s="2">
        <v>43623</v>
      </c>
      <c r="G716" s="3">
        <v>3</v>
      </c>
      <c r="H716" s="3">
        <v>1</v>
      </c>
      <c r="I716" s="3">
        <v>2</v>
      </c>
      <c r="J716" s="3">
        <v>1</v>
      </c>
      <c r="K716" s="3">
        <v>2</v>
      </c>
      <c r="L716" s="3">
        <v>5</v>
      </c>
      <c r="M716" s="3">
        <v>2</v>
      </c>
    </row>
    <row r="717" spans="1:13">
      <c r="A717" t="s">
        <v>31</v>
      </c>
      <c r="B717" t="s">
        <v>2</v>
      </c>
      <c r="C717" t="s">
        <v>198</v>
      </c>
      <c r="D717" t="s">
        <v>3</v>
      </c>
      <c r="E717" t="s">
        <v>26</v>
      </c>
      <c r="F717" s="2">
        <v>43647</v>
      </c>
      <c r="G717" s="3">
        <v>3</v>
      </c>
      <c r="H717" s="3">
        <v>5</v>
      </c>
      <c r="I717" s="3">
        <v>5</v>
      </c>
      <c r="J717" s="3">
        <v>5</v>
      </c>
      <c r="K717" s="3">
        <v>5</v>
      </c>
      <c r="L717" s="3">
        <v>5</v>
      </c>
      <c r="M717" s="3">
        <v>5</v>
      </c>
    </row>
    <row r="718" spans="1:13">
      <c r="A718" t="s">
        <v>1</v>
      </c>
      <c r="B718" t="s">
        <v>286</v>
      </c>
      <c r="C718" t="s">
        <v>198</v>
      </c>
      <c r="D718" t="s">
        <v>3</v>
      </c>
      <c r="E718" t="s">
        <v>4</v>
      </c>
      <c r="F718" s="2">
        <v>43717</v>
      </c>
      <c r="G718" s="3">
        <v>5</v>
      </c>
      <c r="H718" s="3">
        <v>4</v>
      </c>
      <c r="I718" s="3">
        <v>4</v>
      </c>
      <c r="J718" s="3">
        <v>4</v>
      </c>
      <c r="K718" s="3">
        <v>5</v>
      </c>
      <c r="L718" s="3">
        <v>4</v>
      </c>
      <c r="M718" s="3">
        <v>4</v>
      </c>
    </row>
    <row r="719" spans="1:13">
      <c r="A719" t="s">
        <v>98</v>
      </c>
      <c r="B719" t="s">
        <v>2</v>
      </c>
      <c r="C719" t="s">
        <v>198</v>
      </c>
      <c r="D719" t="s">
        <v>3</v>
      </c>
      <c r="E719" t="s">
        <v>12</v>
      </c>
      <c r="F719" s="2">
        <v>43622</v>
      </c>
      <c r="G719" s="3">
        <v>5</v>
      </c>
      <c r="H719" s="3">
        <v>3</v>
      </c>
      <c r="I719" s="3">
        <v>4</v>
      </c>
      <c r="J719" s="3">
        <v>5</v>
      </c>
      <c r="K719" s="3">
        <v>5</v>
      </c>
      <c r="L719" s="3">
        <v>5</v>
      </c>
      <c r="M719" s="3">
        <v>4</v>
      </c>
    </row>
    <row r="720" spans="1:13">
      <c r="A720" t="s">
        <v>663</v>
      </c>
      <c r="B720" t="s">
        <v>78</v>
      </c>
      <c r="C720" t="s">
        <v>569</v>
      </c>
      <c r="D720" t="s">
        <v>3</v>
      </c>
      <c r="E720" t="s">
        <v>146</v>
      </c>
      <c r="F720" s="2">
        <v>43559</v>
      </c>
      <c r="G720" s="3">
        <v>5</v>
      </c>
      <c r="H720" s="3">
        <v>5</v>
      </c>
      <c r="I720" s="3">
        <v>4</v>
      </c>
      <c r="J720" s="3">
        <v>4</v>
      </c>
      <c r="K720" s="3">
        <v>5</v>
      </c>
      <c r="L720" s="3">
        <v>4</v>
      </c>
      <c r="M720" s="3">
        <v>5</v>
      </c>
    </row>
    <row r="721" spans="1:13">
      <c r="A721" t="s">
        <v>105</v>
      </c>
      <c r="B721" t="s">
        <v>2</v>
      </c>
      <c r="C721" t="s">
        <v>198</v>
      </c>
      <c r="D721" t="s">
        <v>3</v>
      </c>
      <c r="E721" t="s">
        <v>12</v>
      </c>
      <c r="F721" s="2">
        <v>43678</v>
      </c>
      <c r="G721" s="3">
        <v>5</v>
      </c>
      <c r="H721" s="3">
        <v>5</v>
      </c>
      <c r="I721" s="3">
        <v>4</v>
      </c>
      <c r="J721" s="3">
        <v>5</v>
      </c>
      <c r="K721" s="3">
        <v>5</v>
      </c>
      <c r="L721" s="3">
        <v>5</v>
      </c>
      <c r="M721" s="3">
        <v>4</v>
      </c>
    </row>
    <row r="722" spans="1:13">
      <c r="A722" t="s">
        <v>377</v>
      </c>
      <c r="B722" t="s">
        <v>2</v>
      </c>
      <c r="C722" t="s">
        <v>198</v>
      </c>
      <c r="D722" t="s">
        <v>3</v>
      </c>
      <c r="E722" t="s">
        <v>378</v>
      </c>
      <c r="F722" s="2">
        <v>44717</v>
      </c>
      <c r="G722" s="3">
        <v>5</v>
      </c>
      <c r="H722" s="3">
        <v>5</v>
      </c>
      <c r="I722" s="3">
        <v>5</v>
      </c>
      <c r="J722" s="3">
        <v>5</v>
      </c>
      <c r="K722" s="3">
        <v>5</v>
      </c>
      <c r="L722" s="3">
        <v>5</v>
      </c>
      <c r="M722" s="3">
        <v>5</v>
      </c>
    </row>
    <row r="723" spans="1:13">
      <c r="A723" t="s">
        <v>558</v>
      </c>
      <c r="B723" t="s">
        <v>558</v>
      </c>
      <c r="C723" t="s">
        <v>558</v>
      </c>
      <c r="D723" t="s">
        <v>558</v>
      </c>
      <c r="E723" t="s">
        <v>56</v>
      </c>
      <c r="F723" s="2">
        <v>44927</v>
      </c>
      <c r="G723" s="3">
        <v>5</v>
      </c>
      <c r="H723" s="3">
        <v>5</v>
      </c>
      <c r="I723" s="3">
        <v>5</v>
      </c>
      <c r="J723" s="3">
        <v>4</v>
      </c>
      <c r="K723" s="3">
        <v>5</v>
      </c>
      <c r="L723" s="3">
        <v>5</v>
      </c>
      <c r="M723" s="3">
        <v>5</v>
      </c>
    </row>
    <row r="724" spans="1:13">
      <c r="A724" t="s">
        <v>16</v>
      </c>
      <c r="B724" t="s">
        <v>50</v>
      </c>
      <c r="C724" t="s">
        <v>50</v>
      </c>
      <c r="D724" t="s">
        <v>3</v>
      </c>
      <c r="E724" t="s">
        <v>616</v>
      </c>
      <c r="F724" s="2">
        <v>43316</v>
      </c>
      <c r="G724" s="3">
        <v>5</v>
      </c>
      <c r="H724" s="3">
        <v>3</v>
      </c>
      <c r="I724" s="3">
        <v>4</v>
      </c>
      <c r="J724" s="3">
        <v>5</v>
      </c>
      <c r="K724" s="3">
        <v>5</v>
      </c>
      <c r="L724" s="3">
        <v>4</v>
      </c>
      <c r="M724" s="3">
        <v>5</v>
      </c>
    </row>
    <row r="725" spans="1:13">
      <c r="A725" t="s">
        <v>28</v>
      </c>
      <c r="B725" t="s">
        <v>8</v>
      </c>
      <c r="C725" t="s">
        <v>570</v>
      </c>
      <c r="D725" t="s">
        <v>3</v>
      </c>
      <c r="E725" t="s">
        <v>23</v>
      </c>
      <c r="F725" s="2">
        <v>43590</v>
      </c>
      <c r="G725" s="3">
        <v>3</v>
      </c>
      <c r="H725" s="3">
        <v>3</v>
      </c>
      <c r="I725" s="3">
        <v>4</v>
      </c>
      <c r="J725" s="3">
        <v>3</v>
      </c>
      <c r="K725" s="3">
        <v>4</v>
      </c>
      <c r="L725" s="3">
        <v>3</v>
      </c>
      <c r="M725" s="3">
        <v>3</v>
      </c>
    </row>
    <row r="726" spans="1:13">
      <c r="A726" t="s">
        <v>558</v>
      </c>
      <c r="B726" t="s">
        <v>558</v>
      </c>
      <c r="C726" t="s">
        <v>558</v>
      </c>
      <c r="D726" t="s">
        <v>558</v>
      </c>
      <c r="E726" t="s">
        <v>558</v>
      </c>
      <c r="F726" s="2">
        <v>43560</v>
      </c>
      <c r="G726" s="3">
        <v>5</v>
      </c>
      <c r="H726" s="3">
        <v>4</v>
      </c>
      <c r="I726" s="3">
        <v>4</v>
      </c>
      <c r="J726" s="3">
        <v>5</v>
      </c>
      <c r="K726" s="3">
        <v>2</v>
      </c>
      <c r="L726" s="3">
        <v>5</v>
      </c>
      <c r="M726" s="3">
        <v>4</v>
      </c>
    </row>
    <row r="727" spans="1:13">
      <c r="A727" t="s">
        <v>28</v>
      </c>
      <c r="B727" t="s">
        <v>558</v>
      </c>
      <c r="C727" t="s">
        <v>558</v>
      </c>
      <c r="D727" t="s">
        <v>3</v>
      </c>
      <c r="E727" t="s">
        <v>558</v>
      </c>
      <c r="F727" s="2">
        <v>43470</v>
      </c>
      <c r="G727" s="3">
        <v>4</v>
      </c>
      <c r="H727" s="3">
        <v>4</v>
      </c>
      <c r="I727" s="3">
        <v>3</v>
      </c>
      <c r="J727" s="3">
        <v>5</v>
      </c>
      <c r="K727" s="3">
        <v>3</v>
      </c>
      <c r="L727" s="3">
        <v>4</v>
      </c>
      <c r="M727" s="3">
        <v>5</v>
      </c>
    </row>
    <row r="728" spans="1:13">
      <c r="A728" t="s">
        <v>94</v>
      </c>
      <c r="B728" t="s">
        <v>192</v>
      </c>
      <c r="C728" t="s">
        <v>192</v>
      </c>
      <c r="D728" t="s">
        <v>3</v>
      </c>
      <c r="E728" t="s">
        <v>616</v>
      </c>
      <c r="F728" s="2">
        <v>43561</v>
      </c>
      <c r="G728" s="3">
        <v>4</v>
      </c>
      <c r="H728" s="3">
        <v>3</v>
      </c>
      <c r="I728" s="3">
        <v>4</v>
      </c>
      <c r="J728" s="3">
        <v>3</v>
      </c>
      <c r="K728" s="3">
        <v>3</v>
      </c>
      <c r="L728" s="3">
        <v>3</v>
      </c>
      <c r="M728" s="3">
        <v>3</v>
      </c>
    </row>
    <row r="729" spans="1:13">
      <c r="A729" t="s">
        <v>379</v>
      </c>
      <c r="B729" t="s">
        <v>380</v>
      </c>
      <c r="C729" t="s">
        <v>588</v>
      </c>
      <c r="D729" t="s">
        <v>3</v>
      </c>
      <c r="E729" t="s">
        <v>122</v>
      </c>
      <c r="F729" s="2">
        <v>43800</v>
      </c>
      <c r="G729" s="3">
        <v>2</v>
      </c>
      <c r="H729" s="3">
        <v>2</v>
      </c>
      <c r="I729" s="3">
        <v>2</v>
      </c>
      <c r="J729" s="3">
        <v>1</v>
      </c>
      <c r="K729" s="3">
        <v>1</v>
      </c>
      <c r="L729" s="3">
        <v>1</v>
      </c>
      <c r="M729" s="3">
        <v>1</v>
      </c>
    </row>
    <row r="730" spans="1:13">
      <c r="A730" t="s">
        <v>381</v>
      </c>
      <c r="B730" t="s">
        <v>564</v>
      </c>
      <c r="C730" t="s">
        <v>50</v>
      </c>
      <c r="D730" t="s">
        <v>3</v>
      </c>
      <c r="E730" t="s">
        <v>627</v>
      </c>
      <c r="F730" s="2">
        <v>43525</v>
      </c>
      <c r="G730" s="3">
        <v>5</v>
      </c>
      <c r="H730" s="3">
        <v>4</v>
      </c>
      <c r="I730" s="3">
        <v>4</v>
      </c>
      <c r="J730" s="3">
        <v>3</v>
      </c>
      <c r="K730" s="3">
        <v>5</v>
      </c>
      <c r="L730" s="3">
        <v>4</v>
      </c>
      <c r="M730" s="3">
        <v>5</v>
      </c>
    </row>
    <row r="731" spans="1:13">
      <c r="A731" t="s">
        <v>7</v>
      </c>
      <c r="B731" t="s">
        <v>82</v>
      </c>
      <c r="C731" t="s">
        <v>566</v>
      </c>
      <c r="D731" t="s">
        <v>3</v>
      </c>
      <c r="E731" t="s">
        <v>201</v>
      </c>
      <c r="F731" s="2">
        <v>43530</v>
      </c>
      <c r="G731" s="3">
        <v>4</v>
      </c>
      <c r="H731" s="3">
        <v>3</v>
      </c>
      <c r="I731" s="3">
        <v>3</v>
      </c>
      <c r="J731" s="3">
        <v>3</v>
      </c>
      <c r="K731" s="3">
        <v>4</v>
      </c>
      <c r="L731" s="3">
        <v>4</v>
      </c>
      <c r="M731" s="3">
        <v>2</v>
      </c>
    </row>
    <row r="732" spans="1:13">
      <c r="A732" t="s">
        <v>688</v>
      </c>
      <c r="B732" t="s">
        <v>2</v>
      </c>
      <c r="C732" t="s">
        <v>198</v>
      </c>
      <c r="D732" t="s">
        <v>3</v>
      </c>
      <c r="E732" t="s">
        <v>66</v>
      </c>
      <c r="F732" s="2">
        <v>43556</v>
      </c>
      <c r="G732" s="3">
        <v>2</v>
      </c>
      <c r="H732" s="3">
        <v>2</v>
      </c>
      <c r="I732" s="3">
        <v>4</v>
      </c>
      <c r="J732" s="3">
        <v>2</v>
      </c>
      <c r="K732" s="3">
        <v>4</v>
      </c>
      <c r="L732" s="3">
        <v>1</v>
      </c>
      <c r="M732" s="3">
        <v>2</v>
      </c>
    </row>
    <row r="733" spans="1:13">
      <c r="A733" t="s">
        <v>88</v>
      </c>
      <c r="B733" t="s">
        <v>558</v>
      </c>
      <c r="C733" t="s">
        <v>558</v>
      </c>
      <c r="D733" t="s">
        <v>3</v>
      </c>
      <c r="E733" t="s">
        <v>558</v>
      </c>
      <c r="F733" s="2">
        <v>43834</v>
      </c>
      <c r="G733" s="3">
        <v>3</v>
      </c>
      <c r="H733" s="3">
        <v>3</v>
      </c>
      <c r="I733" s="3">
        <v>3</v>
      </c>
      <c r="J733" s="3">
        <v>3</v>
      </c>
      <c r="K733" s="3">
        <v>4</v>
      </c>
      <c r="L733" s="3">
        <v>3</v>
      </c>
      <c r="M733" s="3">
        <v>2</v>
      </c>
    </row>
    <row r="734" spans="1:13">
      <c r="A734" t="s">
        <v>19</v>
      </c>
      <c r="B734" t="s">
        <v>2</v>
      </c>
      <c r="C734" t="s">
        <v>198</v>
      </c>
      <c r="D734" t="s">
        <v>3</v>
      </c>
      <c r="E734" t="s">
        <v>382</v>
      </c>
      <c r="F734" s="2">
        <v>43316</v>
      </c>
      <c r="G734" s="3">
        <v>4</v>
      </c>
      <c r="H734" s="3">
        <v>3</v>
      </c>
      <c r="I734" s="3">
        <v>3</v>
      </c>
      <c r="J734" s="3">
        <v>3</v>
      </c>
      <c r="K734" s="3">
        <v>4</v>
      </c>
      <c r="L734" s="3">
        <v>3</v>
      </c>
      <c r="M734" s="3">
        <v>2</v>
      </c>
    </row>
    <row r="735" spans="1:13">
      <c r="A735" t="s">
        <v>31</v>
      </c>
      <c r="B735" t="s">
        <v>2</v>
      </c>
      <c r="C735" t="s">
        <v>198</v>
      </c>
      <c r="D735" t="s">
        <v>3</v>
      </c>
      <c r="E735" t="s">
        <v>26</v>
      </c>
      <c r="F735" s="2">
        <v>43374</v>
      </c>
      <c r="G735" s="3">
        <v>4</v>
      </c>
      <c r="H735" s="3">
        <v>3</v>
      </c>
      <c r="I735" s="3">
        <v>4</v>
      </c>
      <c r="J735" s="3">
        <v>3</v>
      </c>
      <c r="K735" s="3">
        <v>4</v>
      </c>
      <c r="L735" s="3">
        <v>4</v>
      </c>
      <c r="M735" s="3">
        <v>4</v>
      </c>
    </row>
    <row r="736" spans="1:13">
      <c r="A736" t="s">
        <v>297</v>
      </c>
      <c r="B736" t="s">
        <v>558</v>
      </c>
      <c r="C736" t="s">
        <v>558</v>
      </c>
      <c r="D736" t="s">
        <v>3</v>
      </c>
      <c r="E736" t="s">
        <v>23</v>
      </c>
      <c r="F736" s="2">
        <v>43624</v>
      </c>
      <c r="G736" s="3">
        <v>1</v>
      </c>
      <c r="H736" s="3">
        <v>5</v>
      </c>
      <c r="I736" s="3">
        <v>5</v>
      </c>
      <c r="J736" s="3">
        <v>3</v>
      </c>
      <c r="K736" s="3">
        <v>5</v>
      </c>
      <c r="L736" s="3">
        <v>4</v>
      </c>
      <c r="M736" s="3">
        <v>3</v>
      </c>
    </row>
    <row r="737" spans="1:13">
      <c r="A737" t="s">
        <v>77</v>
      </c>
      <c r="B737" t="s">
        <v>2</v>
      </c>
      <c r="C737" t="s">
        <v>198</v>
      </c>
      <c r="D737" t="s">
        <v>55</v>
      </c>
      <c r="E737" t="s">
        <v>23</v>
      </c>
      <c r="F737" s="2">
        <v>43441</v>
      </c>
      <c r="G737" s="3">
        <v>3</v>
      </c>
      <c r="H737" s="3">
        <v>2</v>
      </c>
      <c r="I737" s="3">
        <v>1</v>
      </c>
      <c r="J737" s="3">
        <v>1</v>
      </c>
      <c r="K737" s="3">
        <v>1</v>
      </c>
      <c r="L737" s="3">
        <v>1</v>
      </c>
      <c r="M737" s="3">
        <v>1</v>
      </c>
    </row>
    <row r="738" spans="1:13">
      <c r="A738" t="s">
        <v>35</v>
      </c>
      <c r="B738" t="s">
        <v>2</v>
      </c>
      <c r="C738" t="s">
        <v>198</v>
      </c>
      <c r="D738" t="s">
        <v>3</v>
      </c>
      <c r="E738" t="s">
        <v>23</v>
      </c>
      <c r="F738" s="2">
        <v>43739</v>
      </c>
      <c r="G738" s="3">
        <v>4</v>
      </c>
      <c r="H738" s="3">
        <v>5</v>
      </c>
      <c r="I738" s="3">
        <v>3</v>
      </c>
      <c r="J738" s="3">
        <v>4</v>
      </c>
      <c r="K738" s="3">
        <v>5</v>
      </c>
      <c r="L738" s="3">
        <v>4</v>
      </c>
      <c r="M738" s="3">
        <v>3</v>
      </c>
    </row>
    <row r="739" spans="1:13">
      <c r="A739" t="s">
        <v>227</v>
      </c>
      <c r="B739" t="s">
        <v>383</v>
      </c>
      <c r="C739" t="s">
        <v>582</v>
      </c>
      <c r="D739" t="s">
        <v>3</v>
      </c>
      <c r="E739" t="s">
        <v>23</v>
      </c>
      <c r="F739" s="2">
        <v>43470</v>
      </c>
      <c r="G739" s="3">
        <v>5</v>
      </c>
      <c r="H739" s="3">
        <v>5</v>
      </c>
      <c r="I739" s="3">
        <v>3</v>
      </c>
      <c r="J739" s="3">
        <v>4</v>
      </c>
      <c r="K739" s="3">
        <v>5</v>
      </c>
      <c r="L739" s="3">
        <v>4</v>
      </c>
      <c r="M739" s="3">
        <v>3</v>
      </c>
    </row>
    <row r="740" spans="1:13">
      <c r="A740" t="s">
        <v>384</v>
      </c>
      <c r="B740" t="s">
        <v>214</v>
      </c>
      <c r="C740" t="s">
        <v>566</v>
      </c>
      <c r="D740" t="s">
        <v>3</v>
      </c>
      <c r="E740" t="s">
        <v>146</v>
      </c>
      <c r="F740" s="2">
        <v>43497</v>
      </c>
      <c r="G740" s="3">
        <v>4</v>
      </c>
      <c r="H740" s="3">
        <v>4</v>
      </c>
      <c r="I740" s="3">
        <v>5</v>
      </c>
      <c r="J740" s="3">
        <v>4</v>
      </c>
      <c r="K740" s="3">
        <v>5</v>
      </c>
      <c r="L740" s="3">
        <v>5</v>
      </c>
      <c r="M740" s="3">
        <v>5</v>
      </c>
    </row>
    <row r="741" spans="1:13">
      <c r="A741" t="s">
        <v>188</v>
      </c>
      <c r="B741" t="s">
        <v>8</v>
      </c>
      <c r="C741" t="s">
        <v>570</v>
      </c>
      <c r="D741" t="s">
        <v>3</v>
      </c>
      <c r="E741" t="s">
        <v>627</v>
      </c>
      <c r="F741" s="2">
        <v>43533</v>
      </c>
      <c r="G741" s="3">
        <v>5</v>
      </c>
      <c r="H741" s="3">
        <v>3</v>
      </c>
      <c r="I741" s="3">
        <v>4</v>
      </c>
      <c r="J741" s="3">
        <v>3</v>
      </c>
      <c r="K741" s="3">
        <v>3</v>
      </c>
      <c r="L741" s="3">
        <v>4</v>
      </c>
      <c r="M741" s="3">
        <v>3</v>
      </c>
    </row>
    <row r="742" spans="1:13">
      <c r="A742" t="s">
        <v>385</v>
      </c>
      <c r="B742" t="s">
        <v>2</v>
      </c>
      <c r="C742" t="s">
        <v>198</v>
      </c>
      <c r="D742" t="s">
        <v>3</v>
      </c>
      <c r="E742" t="s">
        <v>558</v>
      </c>
      <c r="F742" s="2">
        <v>43527</v>
      </c>
      <c r="G742" s="3">
        <v>5</v>
      </c>
      <c r="H742" s="3">
        <v>4</v>
      </c>
      <c r="I742" s="3">
        <v>5</v>
      </c>
      <c r="J742" s="3">
        <v>4</v>
      </c>
      <c r="K742" s="3">
        <v>4</v>
      </c>
      <c r="L742" s="3">
        <v>5</v>
      </c>
      <c r="M742" s="3">
        <v>5</v>
      </c>
    </row>
    <row r="743" spans="1:13">
      <c r="A743" t="s">
        <v>227</v>
      </c>
      <c r="B743" t="s">
        <v>243</v>
      </c>
      <c r="C743" t="s">
        <v>574</v>
      </c>
      <c r="D743" t="s">
        <v>3</v>
      </c>
      <c r="E743" t="s">
        <v>46</v>
      </c>
      <c r="F743" s="2">
        <v>43681</v>
      </c>
      <c r="G743" s="3">
        <v>5</v>
      </c>
      <c r="H743" s="3">
        <v>5</v>
      </c>
      <c r="I743" s="3">
        <v>5</v>
      </c>
      <c r="J743" s="3">
        <v>5</v>
      </c>
      <c r="K743" s="3">
        <v>5</v>
      </c>
      <c r="L743" s="3">
        <v>5</v>
      </c>
      <c r="M743" s="3">
        <v>5</v>
      </c>
    </row>
    <row r="744" spans="1:13">
      <c r="A744" t="s">
        <v>386</v>
      </c>
      <c r="B744" t="s">
        <v>2</v>
      </c>
      <c r="C744" t="s">
        <v>198</v>
      </c>
      <c r="D744" t="s">
        <v>3</v>
      </c>
      <c r="E744" t="s">
        <v>15</v>
      </c>
      <c r="F744" s="2">
        <v>43647</v>
      </c>
      <c r="G744" s="3">
        <v>2</v>
      </c>
      <c r="H744" s="3">
        <v>5</v>
      </c>
      <c r="I744" s="3">
        <v>5</v>
      </c>
      <c r="J744" s="3">
        <v>5</v>
      </c>
      <c r="K744" s="3">
        <v>5</v>
      </c>
      <c r="L744" s="3">
        <v>5</v>
      </c>
      <c r="M744" s="3">
        <v>5</v>
      </c>
    </row>
    <row r="745" spans="1:13">
      <c r="A745" t="s">
        <v>126</v>
      </c>
      <c r="B745" t="s">
        <v>50</v>
      </c>
      <c r="C745" t="s">
        <v>50</v>
      </c>
      <c r="D745" t="s">
        <v>3</v>
      </c>
      <c r="E745" t="s">
        <v>148</v>
      </c>
      <c r="F745" s="2">
        <v>43713</v>
      </c>
      <c r="G745" s="3">
        <v>3</v>
      </c>
      <c r="H745" s="3">
        <v>5</v>
      </c>
      <c r="I745" s="3">
        <v>5</v>
      </c>
      <c r="J745" s="3">
        <v>5</v>
      </c>
      <c r="K745" s="3">
        <v>5</v>
      </c>
      <c r="L745" s="3">
        <v>5</v>
      </c>
      <c r="M745" s="3">
        <v>5</v>
      </c>
    </row>
    <row r="746" spans="1:13">
      <c r="A746" t="s">
        <v>105</v>
      </c>
      <c r="B746" t="s">
        <v>2</v>
      </c>
      <c r="C746" t="s">
        <v>198</v>
      </c>
      <c r="D746" t="s">
        <v>3</v>
      </c>
      <c r="E746" t="s">
        <v>139</v>
      </c>
      <c r="F746" s="2">
        <v>44168</v>
      </c>
      <c r="G746" s="3">
        <v>4</v>
      </c>
      <c r="H746" s="3">
        <v>2</v>
      </c>
      <c r="I746" s="3">
        <v>2</v>
      </c>
      <c r="J746" s="3">
        <v>3</v>
      </c>
      <c r="K746" s="3">
        <v>5</v>
      </c>
      <c r="L746" s="3">
        <v>2</v>
      </c>
      <c r="M746" s="3">
        <v>3</v>
      </c>
    </row>
    <row r="747" spans="1:13">
      <c r="A747" t="s">
        <v>387</v>
      </c>
      <c r="B747" t="s">
        <v>388</v>
      </c>
      <c r="C747" t="s">
        <v>569</v>
      </c>
      <c r="D747" t="s">
        <v>3</v>
      </c>
      <c r="E747" t="s">
        <v>46</v>
      </c>
      <c r="F747" s="2">
        <v>43564</v>
      </c>
      <c r="G747" s="3">
        <v>4</v>
      </c>
      <c r="H747" s="3">
        <v>1</v>
      </c>
      <c r="I747" s="3">
        <v>1</v>
      </c>
      <c r="J747" s="3">
        <v>1</v>
      </c>
      <c r="K747" s="3">
        <v>1</v>
      </c>
      <c r="L747" s="3">
        <v>2</v>
      </c>
      <c r="M747" s="3">
        <v>1</v>
      </c>
    </row>
    <row r="748" spans="1:13">
      <c r="A748" t="s">
        <v>389</v>
      </c>
      <c r="B748" t="s">
        <v>2</v>
      </c>
      <c r="C748" t="s">
        <v>198</v>
      </c>
      <c r="D748" t="s">
        <v>3</v>
      </c>
      <c r="E748" t="s">
        <v>23</v>
      </c>
      <c r="F748" s="2">
        <v>43586</v>
      </c>
      <c r="G748" s="3">
        <v>5</v>
      </c>
      <c r="H748" s="3">
        <v>3</v>
      </c>
      <c r="I748" s="3">
        <v>4</v>
      </c>
      <c r="J748" s="3">
        <v>3</v>
      </c>
      <c r="K748" s="3">
        <v>3</v>
      </c>
      <c r="L748" s="3">
        <v>3</v>
      </c>
      <c r="M748" s="3">
        <v>3</v>
      </c>
    </row>
    <row r="749" spans="1:13">
      <c r="A749" t="s">
        <v>689</v>
      </c>
      <c r="B749" t="s">
        <v>32</v>
      </c>
      <c r="C749" t="s">
        <v>567</v>
      </c>
      <c r="D749" t="s">
        <v>3</v>
      </c>
      <c r="E749" t="s">
        <v>14</v>
      </c>
      <c r="F749" s="2">
        <v>43284</v>
      </c>
      <c r="G749" s="3">
        <v>5</v>
      </c>
      <c r="H749" s="3">
        <v>3</v>
      </c>
      <c r="I749" s="3">
        <v>3</v>
      </c>
      <c r="J749" s="3">
        <v>4</v>
      </c>
      <c r="K749" s="3">
        <v>5</v>
      </c>
      <c r="L749" s="3">
        <v>5</v>
      </c>
      <c r="M749" s="3">
        <v>5</v>
      </c>
    </row>
    <row r="750" spans="1:13">
      <c r="A750" t="s">
        <v>251</v>
      </c>
      <c r="B750" t="s">
        <v>2</v>
      </c>
      <c r="C750" t="s">
        <v>198</v>
      </c>
      <c r="D750" t="s">
        <v>3</v>
      </c>
      <c r="E750" t="s">
        <v>23</v>
      </c>
      <c r="F750" s="2">
        <v>43625</v>
      </c>
      <c r="G750" s="3">
        <v>5</v>
      </c>
      <c r="H750" s="3">
        <v>5</v>
      </c>
      <c r="I750" s="3">
        <v>5</v>
      </c>
      <c r="J750" s="3">
        <v>5</v>
      </c>
      <c r="K750" s="3">
        <v>4</v>
      </c>
      <c r="L750" s="3">
        <v>5</v>
      </c>
      <c r="M750" s="3">
        <v>4</v>
      </c>
    </row>
    <row r="751" spans="1:13">
      <c r="A751" t="s">
        <v>558</v>
      </c>
      <c r="B751" t="s">
        <v>8</v>
      </c>
      <c r="C751" t="s">
        <v>570</v>
      </c>
      <c r="D751" t="s">
        <v>558</v>
      </c>
      <c r="E751" t="s">
        <v>59</v>
      </c>
      <c r="F751" s="2">
        <v>43618</v>
      </c>
      <c r="G751" s="3">
        <v>4</v>
      </c>
      <c r="H751" s="3">
        <v>4</v>
      </c>
      <c r="I751" s="3">
        <v>4</v>
      </c>
      <c r="J751" s="3">
        <v>4</v>
      </c>
      <c r="K751" s="3">
        <v>4</v>
      </c>
      <c r="L751" s="3">
        <v>4</v>
      </c>
      <c r="M751" s="3">
        <v>4</v>
      </c>
    </row>
    <row r="752" spans="1:13">
      <c r="A752" t="s">
        <v>605</v>
      </c>
      <c r="B752" t="s">
        <v>117</v>
      </c>
      <c r="C752" t="s">
        <v>572</v>
      </c>
      <c r="D752" t="s">
        <v>3</v>
      </c>
      <c r="E752" t="s">
        <v>390</v>
      </c>
      <c r="F752" s="2">
        <v>43564</v>
      </c>
      <c r="G752" s="3">
        <v>4</v>
      </c>
      <c r="H752" s="3">
        <v>3</v>
      </c>
      <c r="I752" s="3">
        <v>4</v>
      </c>
      <c r="J752" s="3">
        <v>4</v>
      </c>
      <c r="K752" s="3">
        <v>3</v>
      </c>
      <c r="L752" s="3">
        <v>4</v>
      </c>
      <c r="M752" s="3">
        <v>4</v>
      </c>
    </row>
    <row r="753" spans="1:13">
      <c r="A753" t="s">
        <v>298</v>
      </c>
      <c r="B753" t="s">
        <v>206</v>
      </c>
      <c r="C753" t="s">
        <v>569</v>
      </c>
      <c r="D753" t="s">
        <v>3</v>
      </c>
      <c r="E753" t="s">
        <v>391</v>
      </c>
      <c r="F753" s="2">
        <v>43591</v>
      </c>
      <c r="G753" s="3">
        <v>4</v>
      </c>
      <c r="H753" s="3">
        <v>5</v>
      </c>
      <c r="I753" s="3">
        <v>5</v>
      </c>
      <c r="J753" s="3">
        <v>5</v>
      </c>
      <c r="K753" s="3">
        <v>5</v>
      </c>
      <c r="L753" s="3">
        <v>5</v>
      </c>
      <c r="M753" s="3">
        <v>5</v>
      </c>
    </row>
    <row r="754" spans="1:13">
      <c r="A754" t="s">
        <v>282</v>
      </c>
      <c r="B754" t="s">
        <v>192</v>
      </c>
      <c r="C754" t="s">
        <v>192</v>
      </c>
      <c r="D754" t="s">
        <v>3</v>
      </c>
      <c r="E754" t="s">
        <v>691</v>
      </c>
      <c r="F754" s="2">
        <v>43504</v>
      </c>
      <c r="G754" s="3">
        <v>5</v>
      </c>
      <c r="H754" s="3">
        <v>4</v>
      </c>
      <c r="I754" s="3">
        <v>5</v>
      </c>
      <c r="J754" s="3">
        <v>4</v>
      </c>
      <c r="K754" s="3">
        <v>5</v>
      </c>
      <c r="L754" s="3">
        <v>3</v>
      </c>
      <c r="M754" s="3">
        <v>4</v>
      </c>
    </row>
    <row r="755" spans="1:13">
      <c r="A755" t="s">
        <v>28</v>
      </c>
      <c r="B755" t="s">
        <v>8</v>
      </c>
      <c r="C755" t="s">
        <v>570</v>
      </c>
      <c r="D755" t="s">
        <v>3</v>
      </c>
      <c r="E755" t="s">
        <v>359</v>
      </c>
      <c r="F755" s="2">
        <v>43531</v>
      </c>
      <c r="G755" s="3">
        <v>5</v>
      </c>
      <c r="H755" s="3">
        <v>5</v>
      </c>
      <c r="I755" s="3">
        <v>4</v>
      </c>
      <c r="J755" s="3">
        <v>3</v>
      </c>
      <c r="K755" s="3">
        <v>5</v>
      </c>
      <c r="L755" s="3">
        <v>5</v>
      </c>
      <c r="M755" s="3">
        <v>5</v>
      </c>
    </row>
    <row r="756" spans="1:13">
      <c r="A756" t="s">
        <v>94</v>
      </c>
      <c r="B756" t="s">
        <v>214</v>
      </c>
      <c r="C756" t="s">
        <v>566</v>
      </c>
      <c r="D756" t="s">
        <v>3</v>
      </c>
      <c r="E756" t="s">
        <v>23</v>
      </c>
      <c r="F756" s="2">
        <v>43497</v>
      </c>
      <c r="G756" s="3">
        <v>5</v>
      </c>
      <c r="H756" s="3">
        <v>5</v>
      </c>
      <c r="I756" s="3">
        <v>5</v>
      </c>
      <c r="J756" s="3">
        <v>5</v>
      </c>
      <c r="K756" s="3">
        <v>5</v>
      </c>
      <c r="L756" s="3">
        <v>5</v>
      </c>
      <c r="M756" s="3">
        <v>4</v>
      </c>
    </row>
    <row r="757" spans="1:13">
      <c r="A757" t="s">
        <v>392</v>
      </c>
      <c r="B757" t="s">
        <v>2</v>
      </c>
      <c r="C757" t="s">
        <v>198</v>
      </c>
      <c r="D757" t="s">
        <v>3</v>
      </c>
      <c r="E757" t="s">
        <v>15</v>
      </c>
      <c r="F757" s="2">
        <v>43321</v>
      </c>
      <c r="G757" s="3">
        <v>4</v>
      </c>
      <c r="H757" s="3">
        <v>4</v>
      </c>
      <c r="I757" s="3">
        <v>2</v>
      </c>
      <c r="J757" s="3">
        <v>3</v>
      </c>
      <c r="K757" s="3">
        <v>5</v>
      </c>
      <c r="L757" s="3">
        <v>5</v>
      </c>
      <c r="M757" s="3">
        <v>3</v>
      </c>
    </row>
    <row r="758" spans="1:13">
      <c r="A758" t="s">
        <v>393</v>
      </c>
      <c r="B758" t="s">
        <v>394</v>
      </c>
      <c r="C758" t="s">
        <v>569</v>
      </c>
      <c r="D758" t="s">
        <v>3</v>
      </c>
      <c r="E758" t="s">
        <v>114</v>
      </c>
      <c r="F758" s="2">
        <v>43989</v>
      </c>
      <c r="G758" s="3">
        <v>4</v>
      </c>
      <c r="H758" s="3">
        <v>5</v>
      </c>
      <c r="I758" s="3">
        <v>4</v>
      </c>
      <c r="J758" s="3">
        <v>4</v>
      </c>
      <c r="K758" s="3">
        <v>5</v>
      </c>
      <c r="L758" s="3">
        <v>4</v>
      </c>
      <c r="M758" s="3">
        <v>4</v>
      </c>
    </row>
    <row r="759" spans="1:13">
      <c r="A759" t="s">
        <v>395</v>
      </c>
      <c r="B759" t="s">
        <v>558</v>
      </c>
      <c r="C759" t="s">
        <v>558</v>
      </c>
      <c r="D759" t="s">
        <v>3</v>
      </c>
      <c r="E759" t="s">
        <v>558</v>
      </c>
      <c r="F759" s="2">
        <v>43744</v>
      </c>
      <c r="G759" s="3">
        <v>5</v>
      </c>
      <c r="H759" s="3">
        <v>5</v>
      </c>
      <c r="I759" s="3">
        <v>4</v>
      </c>
      <c r="J759" s="3">
        <v>4</v>
      </c>
      <c r="K759" s="3">
        <v>5</v>
      </c>
      <c r="L759" s="3">
        <v>4</v>
      </c>
      <c r="M759" s="3">
        <v>4</v>
      </c>
    </row>
    <row r="760" spans="1:13">
      <c r="A760" t="s">
        <v>149</v>
      </c>
      <c r="B760" t="s">
        <v>206</v>
      </c>
      <c r="C760" t="s">
        <v>569</v>
      </c>
      <c r="D760" t="s">
        <v>3</v>
      </c>
      <c r="E760" t="s">
        <v>26</v>
      </c>
      <c r="F760" s="2">
        <v>44660</v>
      </c>
      <c r="G760" s="3">
        <v>5</v>
      </c>
      <c r="H760" s="3">
        <v>5</v>
      </c>
      <c r="I760" s="3">
        <v>5</v>
      </c>
      <c r="J760" s="3">
        <v>5</v>
      </c>
      <c r="K760" s="3">
        <v>4</v>
      </c>
      <c r="L760" s="3">
        <v>5</v>
      </c>
      <c r="M760" s="3">
        <v>5</v>
      </c>
    </row>
    <row r="761" spans="1:13">
      <c r="A761" t="s">
        <v>396</v>
      </c>
      <c r="B761" t="s">
        <v>2</v>
      </c>
      <c r="C761" t="s">
        <v>198</v>
      </c>
      <c r="D761" t="s">
        <v>3</v>
      </c>
      <c r="E761" t="s">
        <v>60</v>
      </c>
      <c r="F761" s="2">
        <v>43928</v>
      </c>
      <c r="G761" s="3">
        <v>5</v>
      </c>
      <c r="H761" s="3">
        <v>3</v>
      </c>
      <c r="I761" s="3">
        <v>4</v>
      </c>
      <c r="J761" s="3">
        <v>4</v>
      </c>
      <c r="K761" s="3">
        <v>4</v>
      </c>
      <c r="L761" s="3">
        <v>5</v>
      </c>
      <c r="M761" s="3">
        <v>5</v>
      </c>
    </row>
    <row r="762" spans="1:13">
      <c r="A762" t="s">
        <v>690</v>
      </c>
      <c r="B762" t="s">
        <v>397</v>
      </c>
      <c r="C762" t="s">
        <v>577</v>
      </c>
      <c r="D762" t="s">
        <v>3</v>
      </c>
      <c r="E762" t="s">
        <v>398</v>
      </c>
      <c r="F762" s="2">
        <v>43470</v>
      </c>
      <c r="G762" s="3">
        <v>5</v>
      </c>
      <c r="H762" s="3">
        <v>5</v>
      </c>
      <c r="I762" s="3">
        <v>5</v>
      </c>
      <c r="J762" s="3">
        <v>5</v>
      </c>
      <c r="K762" s="3">
        <v>5</v>
      </c>
      <c r="L762" s="3">
        <v>5</v>
      </c>
      <c r="M762" s="3">
        <v>5</v>
      </c>
    </row>
    <row r="763" spans="1:13">
      <c r="A763" t="s">
        <v>224</v>
      </c>
      <c r="B763" t="s">
        <v>50</v>
      </c>
      <c r="C763" t="s">
        <v>50</v>
      </c>
      <c r="D763" t="s">
        <v>3</v>
      </c>
      <c r="E763" t="s">
        <v>399</v>
      </c>
      <c r="F763" s="2">
        <v>43647</v>
      </c>
      <c r="G763" s="3">
        <v>5</v>
      </c>
      <c r="H763" s="3">
        <v>5</v>
      </c>
      <c r="I763" s="3">
        <v>5</v>
      </c>
      <c r="J763" s="3">
        <v>4</v>
      </c>
      <c r="K763" s="3">
        <v>4</v>
      </c>
      <c r="L763" s="3">
        <v>5</v>
      </c>
      <c r="M763" s="3">
        <v>5</v>
      </c>
    </row>
    <row r="764" spans="1:13">
      <c r="A764" t="s">
        <v>186</v>
      </c>
      <c r="B764" t="s">
        <v>214</v>
      </c>
      <c r="C764" t="s">
        <v>566</v>
      </c>
      <c r="D764" t="s">
        <v>3</v>
      </c>
      <c r="E764" t="s">
        <v>558</v>
      </c>
      <c r="F764" s="2">
        <v>44109</v>
      </c>
      <c r="G764" s="3">
        <v>5</v>
      </c>
      <c r="H764" s="3">
        <v>5</v>
      </c>
      <c r="I764" s="3">
        <v>5</v>
      </c>
      <c r="J764" s="3">
        <v>5</v>
      </c>
      <c r="K764" s="3">
        <v>5</v>
      </c>
      <c r="L764" s="3">
        <v>5</v>
      </c>
      <c r="M764" s="3">
        <v>5</v>
      </c>
    </row>
    <row r="765" spans="1:13">
      <c r="A765" t="s">
        <v>535</v>
      </c>
      <c r="B765" t="s">
        <v>50</v>
      </c>
      <c r="C765" t="s">
        <v>50</v>
      </c>
      <c r="D765" t="s">
        <v>3</v>
      </c>
      <c r="E765" t="s">
        <v>494</v>
      </c>
      <c r="F765" s="2">
        <v>43530</v>
      </c>
      <c r="G765" s="3">
        <v>4</v>
      </c>
      <c r="H765" s="3">
        <v>3</v>
      </c>
      <c r="I765" s="3">
        <v>5</v>
      </c>
      <c r="J765" s="3">
        <v>3</v>
      </c>
      <c r="K765" s="3">
        <v>5</v>
      </c>
      <c r="L765" s="3">
        <v>4</v>
      </c>
      <c r="M765" s="3">
        <v>3</v>
      </c>
    </row>
    <row r="766" spans="1:13">
      <c r="A766" t="s">
        <v>1</v>
      </c>
      <c r="B766" t="s">
        <v>564</v>
      </c>
      <c r="C766" t="s">
        <v>50</v>
      </c>
      <c r="D766" t="s">
        <v>3</v>
      </c>
      <c r="E766" t="s">
        <v>4</v>
      </c>
      <c r="F766" s="2">
        <v>44652</v>
      </c>
      <c r="G766" s="3">
        <v>5</v>
      </c>
      <c r="H766" s="3">
        <v>4</v>
      </c>
      <c r="I766" s="3">
        <v>2</v>
      </c>
      <c r="J766" s="3">
        <v>3</v>
      </c>
      <c r="K766" s="3">
        <v>3</v>
      </c>
      <c r="L766" s="3">
        <v>4</v>
      </c>
      <c r="M766" s="3">
        <v>4</v>
      </c>
    </row>
    <row r="767" spans="1:13">
      <c r="A767" t="s">
        <v>400</v>
      </c>
      <c r="B767" t="s">
        <v>558</v>
      </c>
      <c r="C767" t="s">
        <v>558</v>
      </c>
      <c r="D767" t="s">
        <v>3</v>
      </c>
      <c r="E767" t="s">
        <v>12</v>
      </c>
      <c r="F767" s="2">
        <v>43684</v>
      </c>
      <c r="G767" s="3">
        <v>5</v>
      </c>
      <c r="H767" s="3">
        <v>5</v>
      </c>
      <c r="I767" s="3">
        <v>5</v>
      </c>
      <c r="J767" s="3">
        <v>5</v>
      </c>
      <c r="K767" s="3">
        <v>5</v>
      </c>
      <c r="L767" s="3">
        <v>5</v>
      </c>
      <c r="M767" s="3">
        <v>5</v>
      </c>
    </row>
    <row r="768" spans="1:13">
      <c r="A768" t="s">
        <v>606</v>
      </c>
      <c r="B768" t="s">
        <v>401</v>
      </c>
      <c r="C768" t="s">
        <v>567</v>
      </c>
      <c r="D768" t="s">
        <v>3</v>
      </c>
      <c r="E768" t="s">
        <v>23</v>
      </c>
      <c r="F768" s="2">
        <v>43739</v>
      </c>
      <c r="G768" s="3">
        <v>3</v>
      </c>
      <c r="H768" s="3">
        <v>3</v>
      </c>
      <c r="I768" s="3">
        <v>3</v>
      </c>
      <c r="J768" s="3">
        <v>3</v>
      </c>
      <c r="K768" s="3">
        <v>3</v>
      </c>
      <c r="L768" s="3">
        <v>3</v>
      </c>
      <c r="M768" s="3">
        <v>3</v>
      </c>
    </row>
    <row r="769" spans="1:13">
      <c r="A769" t="s">
        <v>248</v>
      </c>
      <c r="B769" t="s">
        <v>32</v>
      </c>
      <c r="C769" t="s">
        <v>567</v>
      </c>
      <c r="D769" t="s">
        <v>3</v>
      </c>
      <c r="E769" t="s">
        <v>627</v>
      </c>
      <c r="F769" s="2">
        <v>44323</v>
      </c>
      <c r="G769" s="3">
        <v>5</v>
      </c>
      <c r="H769" s="3">
        <v>3</v>
      </c>
      <c r="I769" s="3">
        <v>3</v>
      </c>
      <c r="J769" s="3">
        <v>3</v>
      </c>
      <c r="K769" s="3">
        <v>3</v>
      </c>
      <c r="L769" s="3">
        <v>3</v>
      </c>
      <c r="M769" s="3">
        <v>3</v>
      </c>
    </row>
    <row r="770" spans="1:13">
      <c r="A770" t="s">
        <v>226</v>
      </c>
      <c r="B770" t="s">
        <v>2</v>
      </c>
      <c r="C770" t="s">
        <v>198</v>
      </c>
      <c r="D770" t="s">
        <v>3</v>
      </c>
      <c r="E770" t="s">
        <v>4</v>
      </c>
      <c r="F770" s="2">
        <v>43617</v>
      </c>
      <c r="G770" s="3">
        <v>4</v>
      </c>
      <c r="H770" s="3">
        <v>5</v>
      </c>
      <c r="I770" s="3">
        <v>5</v>
      </c>
      <c r="J770" s="3">
        <v>5</v>
      </c>
      <c r="K770" s="3">
        <v>5</v>
      </c>
      <c r="L770" s="3">
        <v>5</v>
      </c>
      <c r="M770" s="3">
        <v>5</v>
      </c>
    </row>
    <row r="771" spans="1:13">
      <c r="A771" t="s">
        <v>402</v>
      </c>
      <c r="B771" t="s">
        <v>2</v>
      </c>
      <c r="C771" t="s">
        <v>198</v>
      </c>
      <c r="D771" t="s">
        <v>3</v>
      </c>
      <c r="E771" t="s">
        <v>60</v>
      </c>
      <c r="F771" s="2">
        <v>43470</v>
      </c>
      <c r="G771" s="3">
        <v>5</v>
      </c>
      <c r="H771" s="3">
        <v>3</v>
      </c>
      <c r="I771" s="3">
        <v>5</v>
      </c>
      <c r="J771" s="3">
        <v>4</v>
      </c>
      <c r="K771" s="3">
        <v>5</v>
      </c>
      <c r="L771" s="3">
        <v>4</v>
      </c>
      <c r="M771" s="3">
        <v>4</v>
      </c>
    </row>
    <row r="772" spans="1:13">
      <c r="A772" t="s">
        <v>28</v>
      </c>
      <c r="B772" t="s">
        <v>72</v>
      </c>
      <c r="C772" t="s">
        <v>578</v>
      </c>
      <c r="D772" t="s">
        <v>3</v>
      </c>
      <c r="E772" t="s">
        <v>619</v>
      </c>
      <c r="F772" s="2">
        <v>43528</v>
      </c>
      <c r="G772" s="3">
        <v>5</v>
      </c>
      <c r="H772" s="3">
        <v>5</v>
      </c>
      <c r="I772" s="3">
        <v>5</v>
      </c>
      <c r="J772" s="3">
        <v>5</v>
      </c>
      <c r="K772" s="3">
        <v>5</v>
      </c>
      <c r="L772" s="3">
        <v>5</v>
      </c>
      <c r="M772" s="3">
        <v>5</v>
      </c>
    </row>
    <row r="773" spans="1:13">
      <c r="A773" t="s">
        <v>1</v>
      </c>
      <c r="B773" t="s">
        <v>2</v>
      </c>
      <c r="C773" t="s">
        <v>198</v>
      </c>
      <c r="D773" t="s">
        <v>3</v>
      </c>
      <c r="E773" t="s">
        <v>403</v>
      </c>
      <c r="F773" s="2">
        <v>43592</v>
      </c>
      <c r="G773" s="3">
        <v>4</v>
      </c>
      <c r="H773" s="3">
        <v>4</v>
      </c>
      <c r="I773" s="3">
        <v>5</v>
      </c>
      <c r="J773" s="3">
        <v>4</v>
      </c>
      <c r="K773" s="3">
        <v>4</v>
      </c>
      <c r="L773" s="3">
        <v>5</v>
      </c>
      <c r="M773" s="3">
        <v>5</v>
      </c>
    </row>
    <row r="774" spans="1:13">
      <c r="A774" t="s">
        <v>1</v>
      </c>
      <c r="B774" t="s">
        <v>2</v>
      </c>
      <c r="C774" t="s">
        <v>198</v>
      </c>
      <c r="D774" t="s">
        <v>3</v>
      </c>
      <c r="E774" t="s">
        <v>26</v>
      </c>
      <c r="F774" s="2">
        <v>44658</v>
      </c>
      <c r="G774" s="3">
        <v>5</v>
      </c>
      <c r="H774" s="3">
        <v>4</v>
      </c>
      <c r="I774" s="3">
        <v>3</v>
      </c>
      <c r="J774" s="3">
        <v>4</v>
      </c>
      <c r="K774" s="3">
        <v>4</v>
      </c>
      <c r="L774" s="3">
        <v>4</v>
      </c>
      <c r="M774" s="3">
        <v>3</v>
      </c>
    </row>
    <row r="775" spans="1:13">
      <c r="A775" t="s">
        <v>248</v>
      </c>
      <c r="B775" t="s">
        <v>32</v>
      </c>
      <c r="C775" t="s">
        <v>567</v>
      </c>
      <c r="D775" t="s">
        <v>3</v>
      </c>
      <c r="E775" t="s">
        <v>627</v>
      </c>
      <c r="F775" s="2">
        <v>44687</v>
      </c>
      <c r="G775" s="3">
        <v>5</v>
      </c>
      <c r="H775" s="3">
        <v>4</v>
      </c>
      <c r="I775" s="3">
        <v>3</v>
      </c>
      <c r="J775" s="3">
        <v>4</v>
      </c>
      <c r="K775" s="3">
        <v>4</v>
      </c>
      <c r="L775" s="3">
        <v>4</v>
      </c>
      <c r="M775" s="3">
        <v>3</v>
      </c>
    </row>
    <row r="776" spans="1:13">
      <c r="A776" t="s">
        <v>535</v>
      </c>
      <c r="B776" t="s">
        <v>564</v>
      </c>
      <c r="C776" t="s">
        <v>50</v>
      </c>
      <c r="D776" t="s">
        <v>3</v>
      </c>
      <c r="E776" t="s">
        <v>404</v>
      </c>
      <c r="F776" s="2">
        <v>43500</v>
      </c>
      <c r="G776" s="3">
        <v>4</v>
      </c>
      <c r="H776" s="3">
        <v>5</v>
      </c>
      <c r="I776" s="3">
        <v>5</v>
      </c>
      <c r="J776" s="3">
        <v>5</v>
      </c>
      <c r="K776" s="3">
        <v>5</v>
      </c>
      <c r="L776" s="3">
        <v>5</v>
      </c>
      <c r="M776" s="3">
        <v>5</v>
      </c>
    </row>
    <row r="777" spans="1:13">
      <c r="A777" t="s">
        <v>405</v>
      </c>
      <c r="B777" t="s">
        <v>2</v>
      </c>
      <c r="C777" t="s">
        <v>198</v>
      </c>
      <c r="D777" t="s">
        <v>3</v>
      </c>
      <c r="E777" t="s">
        <v>429</v>
      </c>
      <c r="F777" s="2">
        <v>44715</v>
      </c>
      <c r="G777" s="3">
        <v>5</v>
      </c>
      <c r="H777" s="3">
        <v>5</v>
      </c>
      <c r="I777" s="3">
        <v>5</v>
      </c>
      <c r="J777" s="3">
        <v>5</v>
      </c>
      <c r="K777" s="3">
        <v>5</v>
      </c>
      <c r="L777" s="3">
        <v>5</v>
      </c>
      <c r="M777" s="3">
        <v>5</v>
      </c>
    </row>
    <row r="778" spans="1:13">
      <c r="A778" t="s">
        <v>91</v>
      </c>
      <c r="B778" t="s">
        <v>318</v>
      </c>
      <c r="C778" t="s">
        <v>358</v>
      </c>
      <c r="D778" t="s">
        <v>3</v>
      </c>
      <c r="E778" t="s">
        <v>691</v>
      </c>
      <c r="F778" s="2">
        <v>43655</v>
      </c>
      <c r="G778" s="3">
        <v>5</v>
      </c>
      <c r="H778" s="3">
        <v>5</v>
      </c>
      <c r="I778" s="3">
        <v>5</v>
      </c>
      <c r="J778" s="3">
        <v>5</v>
      </c>
      <c r="K778" s="3">
        <v>5</v>
      </c>
      <c r="L778" s="3">
        <v>5</v>
      </c>
      <c r="M778" s="3">
        <v>5</v>
      </c>
    </row>
    <row r="779" spans="1:13">
      <c r="A779" t="s">
        <v>35</v>
      </c>
      <c r="B779" t="s">
        <v>2</v>
      </c>
      <c r="C779" t="s">
        <v>198</v>
      </c>
      <c r="D779" t="s">
        <v>3</v>
      </c>
      <c r="E779" t="s">
        <v>619</v>
      </c>
      <c r="F779" s="2">
        <v>43590</v>
      </c>
      <c r="G779" s="3">
        <v>5</v>
      </c>
      <c r="H779" s="3">
        <v>5</v>
      </c>
      <c r="I779" s="3">
        <v>5</v>
      </c>
      <c r="J779" s="3">
        <v>3</v>
      </c>
      <c r="K779" s="3">
        <v>5</v>
      </c>
      <c r="L779" s="3">
        <v>5</v>
      </c>
      <c r="M779" s="3">
        <v>4</v>
      </c>
    </row>
    <row r="780" spans="1:13">
      <c r="A780" t="s">
        <v>30</v>
      </c>
      <c r="B780" t="s">
        <v>2</v>
      </c>
      <c r="C780" t="s">
        <v>198</v>
      </c>
      <c r="D780" t="s">
        <v>3</v>
      </c>
      <c r="E780" t="s">
        <v>26</v>
      </c>
      <c r="F780" s="2">
        <v>43441</v>
      </c>
      <c r="G780" s="3">
        <v>5</v>
      </c>
      <c r="H780" s="3">
        <v>4</v>
      </c>
      <c r="I780" s="3">
        <v>4</v>
      </c>
      <c r="J780" s="3">
        <v>4</v>
      </c>
      <c r="K780" s="3">
        <v>5</v>
      </c>
      <c r="L780" s="3">
        <v>5</v>
      </c>
      <c r="M780" s="3">
        <v>5</v>
      </c>
    </row>
    <row r="781" spans="1:13">
      <c r="A781" t="s">
        <v>607</v>
      </c>
      <c r="B781" t="s">
        <v>50</v>
      </c>
      <c r="C781" t="s">
        <v>50</v>
      </c>
      <c r="D781" t="s">
        <v>3</v>
      </c>
      <c r="E781" t="s">
        <v>406</v>
      </c>
      <c r="F781" s="2">
        <v>43374</v>
      </c>
      <c r="G781" s="3">
        <v>4</v>
      </c>
      <c r="H781" s="3">
        <v>3</v>
      </c>
      <c r="I781" s="3">
        <v>1</v>
      </c>
      <c r="J781" s="3">
        <v>2</v>
      </c>
      <c r="K781" s="3">
        <v>3</v>
      </c>
      <c r="L781" s="3">
        <v>3</v>
      </c>
      <c r="M781" s="3">
        <v>3</v>
      </c>
    </row>
    <row r="782" spans="1:13">
      <c r="A782" t="s">
        <v>1</v>
      </c>
      <c r="B782" t="s">
        <v>2</v>
      </c>
      <c r="C782" t="s">
        <v>198</v>
      </c>
      <c r="D782" t="s">
        <v>3</v>
      </c>
      <c r="E782" t="s">
        <v>4</v>
      </c>
      <c r="F782" s="2">
        <v>44565</v>
      </c>
      <c r="G782" s="3">
        <v>4</v>
      </c>
      <c r="H782" s="3">
        <v>3</v>
      </c>
      <c r="I782" s="3">
        <v>5</v>
      </c>
      <c r="J782" s="3">
        <v>4</v>
      </c>
      <c r="K782" s="3">
        <v>5</v>
      </c>
      <c r="L782" s="3">
        <v>3</v>
      </c>
      <c r="M782" s="3">
        <v>1</v>
      </c>
    </row>
    <row r="783" spans="1:13">
      <c r="A783" t="s">
        <v>1</v>
      </c>
      <c r="B783" t="s">
        <v>286</v>
      </c>
      <c r="C783" t="s">
        <v>198</v>
      </c>
      <c r="D783" t="s">
        <v>3</v>
      </c>
      <c r="E783" t="s">
        <v>26</v>
      </c>
      <c r="F783" s="2">
        <v>43436</v>
      </c>
      <c r="G783" s="3">
        <v>4</v>
      </c>
      <c r="H783" s="3">
        <v>4</v>
      </c>
      <c r="I783" s="3">
        <v>3</v>
      </c>
      <c r="J783" s="3">
        <v>4</v>
      </c>
      <c r="K783" s="3">
        <v>5</v>
      </c>
      <c r="L783" s="3">
        <v>4</v>
      </c>
      <c r="M783" s="3">
        <v>4</v>
      </c>
    </row>
    <row r="784" spans="1:13">
      <c r="A784" t="s">
        <v>407</v>
      </c>
      <c r="B784" t="s">
        <v>524</v>
      </c>
      <c r="C784" t="s">
        <v>580</v>
      </c>
      <c r="D784" t="s">
        <v>3</v>
      </c>
      <c r="E784" t="s">
        <v>627</v>
      </c>
      <c r="F784" s="2">
        <v>43525</v>
      </c>
      <c r="G784" s="3">
        <v>4</v>
      </c>
      <c r="H784" s="3">
        <v>3</v>
      </c>
      <c r="I784" s="3">
        <v>4</v>
      </c>
      <c r="J784" s="3">
        <v>4</v>
      </c>
      <c r="K784" s="3">
        <v>4</v>
      </c>
      <c r="L784" s="3">
        <v>5</v>
      </c>
      <c r="M784" s="3">
        <v>4</v>
      </c>
    </row>
    <row r="785" spans="1:13">
      <c r="A785" t="s">
        <v>188</v>
      </c>
      <c r="B785" t="s">
        <v>50</v>
      </c>
      <c r="C785" t="s">
        <v>50</v>
      </c>
      <c r="D785" t="s">
        <v>3</v>
      </c>
      <c r="E785" t="s">
        <v>63</v>
      </c>
      <c r="F785" s="2">
        <v>43344</v>
      </c>
      <c r="G785" s="3">
        <v>4</v>
      </c>
      <c r="H785" s="3">
        <v>5</v>
      </c>
      <c r="I785" s="3">
        <v>4</v>
      </c>
      <c r="J785" s="3">
        <v>3</v>
      </c>
      <c r="K785" s="3">
        <v>4</v>
      </c>
      <c r="L785" s="3">
        <v>4</v>
      </c>
      <c r="M785" s="3">
        <v>3</v>
      </c>
    </row>
    <row r="786" spans="1:13">
      <c r="A786" t="s">
        <v>166</v>
      </c>
      <c r="B786" t="s">
        <v>2</v>
      </c>
      <c r="C786" t="s">
        <v>198</v>
      </c>
      <c r="D786" t="s">
        <v>3</v>
      </c>
      <c r="E786" t="s">
        <v>20</v>
      </c>
      <c r="F786" s="2">
        <v>45021</v>
      </c>
      <c r="G786" s="3">
        <v>5</v>
      </c>
      <c r="H786" s="3">
        <v>5</v>
      </c>
      <c r="I786" s="3">
        <v>5</v>
      </c>
      <c r="J786" s="3">
        <v>5</v>
      </c>
      <c r="K786" s="3">
        <v>5</v>
      </c>
      <c r="L786" s="3">
        <v>5</v>
      </c>
      <c r="M786" s="3">
        <v>5</v>
      </c>
    </row>
    <row r="787" spans="1:13">
      <c r="A787" t="s">
        <v>408</v>
      </c>
      <c r="B787" t="s">
        <v>409</v>
      </c>
      <c r="C787" t="s">
        <v>566</v>
      </c>
      <c r="D787" t="s">
        <v>3</v>
      </c>
      <c r="E787" t="s">
        <v>627</v>
      </c>
      <c r="F787" s="2">
        <v>43439</v>
      </c>
      <c r="G787" s="3">
        <v>5</v>
      </c>
      <c r="H787" s="3">
        <v>5</v>
      </c>
      <c r="I787" s="3">
        <v>5</v>
      </c>
      <c r="J787" s="3">
        <v>5</v>
      </c>
      <c r="K787" s="3">
        <v>5</v>
      </c>
      <c r="L787" s="3">
        <v>5</v>
      </c>
      <c r="M787" s="3">
        <v>5</v>
      </c>
    </row>
    <row r="788" spans="1:13">
      <c r="A788" t="s">
        <v>410</v>
      </c>
      <c r="B788" t="s">
        <v>442</v>
      </c>
      <c r="C788" t="s">
        <v>427</v>
      </c>
      <c r="D788" t="s">
        <v>3</v>
      </c>
      <c r="E788" t="s">
        <v>201</v>
      </c>
      <c r="F788" s="2">
        <v>43470</v>
      </c>
      <c r="G788" s="3">
        <v>5</v>
      </c>
      <c r="H788" s="3">
        <v>4</v>
      </c>
      <c r="I788" s="3">
        <v>5</v>
      </c>
      <c r="J788" s="3">
        <v>4</v>
      </c>
      <c r="K788" s="3">
        <v>5</v>
      </c>
      <c r="L788" s="3">
        <v>5</v>
      </c>
      <c r="M788" s="3">
        <v>5</v>
      </c>
    </row>
    <row r="789" spans="1:13">
      <c r="A789" t="s">
        <v>639</v>
      </c>
      <c r="B789" t="s">
        <v>286</v>
      </c>
      <c r="C789" t="s">
        <v>198</v>
      </c>
      <c r="D789" t="s">
        <v>3</v>
      </c>
      <c r="E789" t="s">
        <v>122</v>
      </c>
      <c r="F789" s="2">
        <v>43504</v>
      </c>
      <c r="G789" s="3">
        <v>5</v>
      </c>
      <c r="H789" s="3">
        <v>5</v>
      </c>
      <c r="I789" s="3">
        <v>5</v>
      </c>
      <c r="J789" s="3">
        <v>5</v>
      </c>
      <c r="K789" s="3">
        <v>5</v>
      </c>
      <c r="L789" s="3">
        <v>5</v>
      </c>
      <c r="M789" s="3">
        <v>5</v>
      </c>
    </row>
    <row r="790" spans="1:13">
      <c r="A790" t="s">
        <v>153</v>
      </c>
      <c r="B790" t="s">
        <v>32</v>
      </c>
      <c r="C790" t="s">
        <v>567</v>
      </c>
      <c r="D790" t="s">
        <v>3</v>
      </c>
      <c r="E790" t="s">
        <v>558</v>
      </c>
      <c r="F790" s="2">
        <v>43498</v>
      </c>
      <c r="G790" s="3">
        <v>5</v>
      </c>
      <c r="H790" s="3">
        <v>5</v>
      </c>
      <c r="I790" s="3">
        <v>4</v>
      </c>
      <c r="J790" s="3">
        <v>4</v>
      </c>
      <c r="K790" s="3">
        <v>5</v>
      </c>
      <c r="L790" s="3">
        <v>5</v>
      </c>
      <c r="M790" s="3">
        <v>5</v>
      </c>
    </row>
    <row r="791" spans="1:13">
      <c r="A791" t="s">
        <v>412</v>
      </c>
      <c r="B791" t="s">
        <v>571</v>
      </c>
      <c r="C791" t="s">
        <v>572</v>
      </c>
      <c r="D791" t="s">
        <v>3</v>
      </c>
      <c r="E791" t="s">
        <v>175</v>
      </c>
      <c r="F791" s="2">
        <v>43685</v>
      </c>
      <c r="G791" s="3">
        <v>4</v>
      </c>
      <c r="H791" s="3">
        <v>4</v>
      </c>
      <c r="I791" s="3">
        <v>4</v>
      </c>
      <c r="J791" s="3">
        <v>4</v>
      </c>
      <c r="K791" s="3">
        <v>4</v>
      </c>
      <c r="L791" s="3">
        <v>4</v>
      </c>
      <c r="M791" s="3">
        <v>3</v>
      </c>
    </row>
    <row r="792" spans="1:13">
      <c r="A792" t="s">
        <v>77</v>
      </c>
      <c r="B792" t="s">
        <v>2</v>
      </c>
      <c r="C792" t="s">
        <v>198</v>
      </c>
      <c r="D792" t="s">
        <v>55</v>
      </c>
      <c r="E792" t="s">
        <v>23</v>
      </c>
      <c r="F792" s="2">
        <v>43439</v>
      </c>
      <c r="G792" s="3">
        <v>5</v>
      </c>
      <c r="H792" s="3">
        <v>5</v>
      </c>
      <c r="I792" s="3">
        <v>5</v>
      </c>
      <c r="J792" s="3">
        <v>5</v>
      </c>
      <c r="K792" s="3">
        <v>5</v>
      </c>
      <c r="L792" s="3">
        <v>5</v>
      </c>
      <c r="M792" s="3">
        <v>5</v>
      </c>
    </row>
    <row r="793" spans="1:13">
      <c r="A793" t="s">
        <v>608</v>
      </c>
      <c r="B793" t="s">
        <v>214</v>
      </c>
      <c r="C793" t="s">
        <v>566</v>
      </c>
      <c r="D793" t="s">
        <v>3</v>
      </c>
      <c r="E793" t="s">
        <v>201</v>
      </c>
      <c r="F793" s="2">
        <v>43504</v>
      </c>
      <c r="G793" s="3">
        <v>5</v>
      </c>
      <c r="H793" s="3">
        <v>4</v>
      </c>
      <c r="I793" s="3">
        <v>5</v>
      </c>
      <c r="J793" s="3">
        <v>5</v>
      </c>
      <c r="K793" s="3">
        <v>4</v>
      </c>
      <c r="L793" s="3">
        <v>4</v>
      </c>
      <c r="M793" s="3">
        <v>5</v>
      </c>
    </row>
    <row r="794" spans="1:13">
      <c r="A794" t="s">
        <v>692</v>
      </c>
      <c r="B794" t="s">
        <v>558</v>
      </c>
      <c r="C794" t="s">
        <v>558</v>
      </c>
      <c r="D794" t="s">
        <v>3</v>
      </c>
      <c r="E794" t="s">
        <v>536</v>
      </c>
      <c r="F794" s="2">
        <v>43807</v>
      </c>
      <c r="G794" s="3">
        <v>5</v>
      </c>
      <c r="H794" s="3">
        <v>4</v>
      </c>
      <c r="I794" s="3">
        <v>5</v>
      </c>
      <c r="J794" s="3">
        <v>3</v>
      </c>
      <c r="K794" s="3">
        <v>4</v>
      </c>
      <c r="L794" s="3">
        <v>5</v>
      </c>
      <c r="M794" s="3">
        <v>3</v>
      </c>
    </row>
    <row r="795" spans="1:13">
      <c r="A795" t="s">
        <v>1</v>
      </c>
      <c r="B795" t="s">
        <v>2</v>
      </c>
      <c r="C795" t="s">
        <v>198</v>
      </c>
      <c r="D795" t="s">
        <v>3</v>
      </c>
      <c r="E795" t="s">
        <v>23</v>
      </c>
      <c r="F795" s="2">
        <v>43410</v>
      </c>
      <c r="G795" s="3">
        <v>5</v>
      </c>
      <c r="H795" s="3">
        <v>3</v>
      </c>
      <c r="I795" s="3">
        <v>5</v>
      </c>
      <c r="J795" s="3">
        <v>5</v>
      </c>
      <c r="K795" s="3">
        <v>4</v>
      </c>
      <c r="L795" s="3">
        <v>4</v>
      </c>
      <c r="M795" s="3">
        <v>3</v>
      </c>
    </row>
    <row r="796" spans="1:13">
      <c r="A796" t="s">
        <v>30</v>
      </c>
      <c r="B796" t="s">
        <v>2</v>
      </c>
      <c r="C796" t="s">
        <v>516</v>
      </c>
      <c r="D796" t="s">
        <v>3</v>
      </c>
      <c r="E796" t="s">
        <v>23</v>
      </c>
      <c r="F796" s="2">
        <v>44869</v>
      </c>
      <c r="G796" s="3">
        <v>5</v>
      </c>
      <c r="H796" s="3">
        <v>4</v>
      </c>
      <c r="I796" s="3">
        <v>5</v>
      </c>
      <c r="J796" s="3">
        <v>4</v>
      </c>
      <c r="K796" s="3">
        <v>4</v>
      </c>
      <c r="L796" s="3">
        <v>5</v>
      </c>
      <c r="M796" s="3">
        <v>4</v>
      </c>
    </row>
    <row r="797" spans="1:13">
      <c r="A797" t="s">
        <v>238</v>
      </c>
      <c r="B797" t="s">
        <v>193</v>
      </c>
      <c r="C797" t="s">
        <v>572</v>
      </c>
      <c r="D797" t="s">
        <v>3</v>
      </c>
      <c r="E797" t="s">
        <v>413</v>
      </c>
      <c r="F797" s="2">
        <v>43533</v>
      </c>
      <c r="G797" s="3">
        <v>5</v>
      </c>
      <c r="H797" s="3">
        <v>5</v>
      </c>
      <c r="I797" s="3">
        <v>5</v>
      </c>
      <c r="J797" s="3">
        <v>5</v>
      </c>
      <c r="K797" s="3">
        <v>5</v>
      </c>
      <c r="L797" s="3">
        <v>5</v>
      </c>
      <c r="M797" s="3">
        <v>5</v>
      </c>
    </row>
    <row r="798" spans="1:13">
      <c r="A798" t="s">
        <v>77</v>
      </c>
      <c r="B798" t="s">
        <v>2</v>
      </c>
      <c r="C798" t="s">
        <v>198</v>
      </c>
      <c r="D798" t="s">
        <v>55</v>
      </c>
      <c r="E798" t="s">
        <v>12</v>
      </c>
      <c r="F798" s="2">
        <v>43466</v>
      </c>
      <c r="G798" s="3">
        <v>3</v>
      </c>
      <c r="H798" s="3">
        <v>3</v>
      </c>
      <c r="I798" s="3">
        <v>4</v>
      </c>
      <c r="J798" s="3">
        <v>3</v>
      </c>
      <c r="K798" s="3">
        <v>3</v>
      </c>
      <c r="L798" s="3">
        <v>4</v>
      </c>
      <c r="M798" s="3">
        <v>3</v>
      </c>
    </row>
    <row r="799" spans="1:13">
      <c r="A799" t="s">
        <v>231</v>
      </c>
      <c r="B799" t="s">
        <v>50</v>
      </c>
      <c r="C799" t="s">
        <v>50</v>
      </c>
      <c r="D799" t="s">
        <v>55</v>
      </c>
      <c r="E799" t="s">
        <v>558</v>
      </c>
      <c r="F799" s="2">
        <v>43468</v>
      </c>
      <c r="G799" s="3">
        <v>5</v>
      </c>
      <c r="H799" s="3">
        <v>4</v>
      </c>
      <c r="I799" s="3">
        <v>5</v>
      </c>
      <c r="J799" s="3">
        <v>4</v>
      </c>
      <c r="K799" s="3">
        <v>2</v>
      </c>
      <c r="L799" s="3">
        <v>3</v>
      </c>
      <c r="M799" s="3">
        <v>3</v>
      </c>
    </row>
    <row r="800" spans="1:13">
      <c r="A800" t="s">
        <v>609</v>
      </c>
      <c r="B800" t="s">
        <v>50</v>
      </c>
      <c r="C800" t="s">
        <v>50</v>
      </c>
      <c r="D800" t="s">
        <v>3</v>
      </c>
      <c r="E800" t="s">
        <v>201</v>
      </c>
      <c r="F800" s="2">
        <v>43435</v>
      </c>
      <c r="G800" s="3">
        <v>3</v>
      </c>
      <c r="H800" s="3">
        <v>3</v>
      </c>
      <c r="I800" s="3">
        <v>3</v>
      </c>
      <c r="J800" s="3">
        <v>2</v>
      </c>
      <c r="K800" s="3">
        <v>1</v>
      </c>
      <c r="L800" s="3">
        <v>1</v>
      </c>
      <c r="M800" s="3">
        <v>2</v>
      </c>
    </row>
    <row r="801" spans="1:13">
      <c r="A801" t="s">
        <v>77</v>
      </c>
      <c r="B801" t="s">
        <v>2</v>
      </c>
      <c r="C801" t="s">
        <v>198</v>
      </c>
      <c r="D801" t="s">
        <v>55</v>
      </c>
      <c r="E801" t="s">
        <v>4</v>
      </c>
      <c r="F801" s="2">
        <v>43223</v>
      </c>
      <c r="G801" s="3">
        <v>4</v>
      </c>
      <c r="H801" s="3">
        <v>4</v>
      </c>
      <c r="I801" s="3">
        <v>4</v>
      </c>
      <c r="J801" s="3">
        <v>4</v>
      </c>
      <c r="K801" s="3">
        <v>3</v>
      </c>
      <c r="L801" s="3">
        <v>4</v>
      </c>
      <c r="M801" s="3">
        <v>3</v>
      </c>
    </row>
    <row r="802" spans="1:13">
      <c r="A802" t="s">
        <v>1</v>
      </c>
      <c r="B802" t="s">
        <v>2</v>
      </c>
      <c r="C802" t="s">
        <v>198</v>
      </c>
      <c r="D802" t="s">
        <v>3</v>
      </c>
      <c r="E802" t="s">
        <v>12</v>
      </c>
      <c r="F802" s="2">
        <v>43502</v>
      </c>
      <c r="G802" s="3">
        <v>1</v>
      </c>
      <c r="H802" s="3">
        <v>1</v>
      </c>
      <c r="I802" s="3">
        <v>1</v>
      </c>
      <c r="J802" s="3">
        <v>1</v>
      </c>
      <c r="K802" s="3">
        <v>1</v>
      </c>
      <c r="L802" s="3">
        <v>1</v>
      </c>
      <c r="M802" s="3">
        <v>1</v>
      </c>
    </row>
    <row r="803" spans="1:13">
      <c r="A803" t="s">
        <v>414</v>
      </c>
      <c r="B803" t="s">
        <v>8</v>
      </c>
      <c r="C803" t="s">
        <v>570</v>
      </c>
      <c r="D803" t="s">
        <v>55</v>
      </c>
      <c r="E803" t="s">
        <v>26</v>
      </c>
      <c r="F803" s="2">
        <v>43382</v>
      </c>
      <c r="G803" s="3">
        <v>3</v>
      </c>
      <c r="H803" s="3">
        <v>1</v>
      </c>
      <c r="I803" s="3">
        <v>1</v>
      </c>
      <c r="J803" s="3">
        <v>1</v>
      </c>
      <c r="K803" s="3">
        <v>1</v>
      </c>
      <c r="L803" s="3">
        <v>1</v>
      </c>
      <c r="M803" s="3">
        <v>1</v>
      </c>
    </row>
    <row r="804" spans="1:13">
      <c r="A804" t="s">
        <v>558</v>
      </c>
      <c r="B804" t="s">
        <v>288</v>
      </c>
      <c r="C804" t="s">
        <v>572</v>
      </c>
      <c r="D804" t="s">
        <v>558</v>
      </c>
      <c r="E804" t="s">
        <v>610</v>
      </c>
      <c r="F804" s="2">
        <v>43411</v>
      </c>
      <c r="G804" s="3">
        <v>3</v>
      </c>
      <c r="H804" s="3">
        <v>2</v>
      </c>
      <c r="I804" s="3">
        <v>4</v>
      </c>
      <c r="J804" s="3">
        <v>2</v>
      </c>
      <c r="K804" s="3">
        <v>1</v>
      </c>
      <c r="L804" s="3">
        <v>1</v>
      </c>
      <c r="M804" s="3">
        <v>2</v>
      </c>
    </row>
    <row r="805" spans="1:13">
      <c r="A805" t="s">
        <v>415</v>
      </c>
      <c r="B805" t="s">
        <v>558</v>
      </c>
      <c r="C805" t="s">
        <v>558</v>
      </c>
      <c r="D805" t="s">
        <v>3</v>
      </c>
      <c r="E805" t="s">
        <v>23</v>
      </c>
      <c r="F805" s="2">
        <v>43560</v>
      </c>
      <c r="G805" s="3">
        <v>4</v>
      </c>
      <c r="H805" s="3">
        <v>3</v>
      </c>
      <c r="I805" s="3">
        <v>4</v>
      </c>
      <c r="J805" s="3">
        <v>3</v>
      </c>
      <c r="K805" s="3">
        <v>4</v>
      </c>
      <c r="L805" s="3">
        <v>3</v>
      </c>
      <c r="M805" s="3">
        <v>2</v>
      </c>
    </row>
    <row r="806" spans="1:13">
      <c r="A806" t="s">
        <v>416</v>
      </c>
      <c r="B806" t="s">
        <v>573</v>
      </c>
      <c r="C806" t="s">
        <v>358</v>
      </c>
      <c r="D806" t="s">
        <v>3</v>
      </c>
      <c r="E806" t="s">
        <v>417</v>
      </c>
      <c r="F806" s="2">
        <v>43374</v>
      </c>
      <c r="G806" s="3">
        <v>5</v>
      </c>
      <c r="H806" s="3">
        <v>4</v>
      </c>
      <c r="I806" s="3">
        <v>4</v>
      </c>
      <c r="J806" s="3">
        <v>4</v>
      </c>
      <c r="K806" s="3">
        <v>3</v>
      </c>
      <c r="L806" s="3">
        <v>4</v>
      </c>
      <c r="M806" s="3">
        <v>4</v>
      </c>
    </row>
    <row r="807" spans="1:13">
      <c r="A807" t="s">
        <v>367</v>
      </c>
      <c r="B807" t="s">
        <v>118</v>
      </c>
      <c r="C807" t="s">
        <v>579</v>
      </c>
      <c r="D807" t="s">
        <v>3</v>
      </c>
      <c r="E807" t="s">
        <v>418</v>
      </c>
      <c r="F807" s="2">
        <v>43470</v>
      </c>
      <c r="G807" s="3">
        <v>5</v>
      </c>
      <c r="H807" s="3">
        <v>5</v>
      </c>
      <c r="I807" s="3">
        <v>5</v>
      </c>
      <c r="J807" s="3">
        <v>5</v>
      </c>
      <c r="K807" s="3">
        <v>5</v>
      </c>
      <c r="L807" s="3">
        <v>5</v>
      </c>
      <c r="M807" s="3">
        <v>5</v>
      </c>
    </row>
    <row r="808" spans="1:13">
      <c r="A808" t="s">
        <v>693</v>
      </c>
      <c r="B808" t="s">
        <v>2</v>
      </c>
      <c r="C808" t="s">
        <v>198</v>
      </c>
      <c r="D808" t="s">
        <v>3</v>
      </c>
      <c r="E808" t="s">
        <v>49</v>
      </c>
      <c r="F808" s="2">
        <v>43378</v>
      </c>
      <c r="G808" s="3">
        <v>4</v>
      </c>
      <c r="H808" s="3">
        <v>5</v>
      </c>
      <c r="I808" s="3">
        <v>5</v>
      </c>
      <c r="J808" s="3">
        <v>5</v>
      </c>
      <c r="K808" s="3">
        <v>5</v>
      </c>
      <c r="L808" s="3">
        <v>5</v>
      </c>
      <c r="M808" s="3">
        <v>5</v>
      </c>
    </row>
    <row r="809" spans="1:13">
      <c r="A809" t="s">
        <v>105</v>
      </c>
      <c r="B809" t="s">
        <v>2</v>
      </c>
      <c r="C809" t="s">
        <v>198</v>
      </c>
      <c r="D809" t="s">
        <v>3</v>
      </c>
      <c r="E809" t="s">
        <v>558</v>
      </c>
      <c r="F809" s="2">
        <v>43314</v>
      </c>
      <c r="G809" s="3">
        <v>4</v>
      </c>
      <c r="H809" s="3">
        <v>4</v>
      </c>
      <c r="I809" s="3">
        <v>5</v>
      </c>
      <c r="J809" s="3">
        <v>4</v>
      </c>
      <c r="K809" s="3">
        <v>5</v>
      </c>
      <c r="L809" s="3">
        <v>4</v>
      </c>
      <c r="M809" s="3">
        <v>3</v>
      </c>
    </row>
    <row r="810" spans="1:13">
      <c r="A810" t="s">
        <v>535</v>
      </c>
      <c r="B810" t="s">
        <v>318</v>
      </c>
      <c r="C810" t="s">
        <v>358</v>
      </c>
      <c r="D810" t="s">
        <v>3</v>
      </c>
      <c r="E810" t="s">
        <v>494</v>
      </c>
      <c r="F810" s="2">
        <v>43351</v>
      </c>
      <c r="G810" s="3">
        <v>4</v>
      </c>
      <c r="H810" s="3">
        <v>3</v>
      </c>
      <c r="I810" s="3">
        <v>5</v>
      </c>
      <c r="J810" s="3">
        <v>2</v>
      </c>
      <c r="K810" s="3">
        <v>3</v>
      </c>
      <c r="L810" s="3">
        <v>4</v>
      </c>
      <c r="M810" s="3">
        <v>2</v>
      </c>
    </row>
    <row r="811" spans="1:13">
      <c r="A811" t="s">
        <v>419</v>
      </c>
      <c r="B811" t="s">
        <v>2</v>
      </c>
      <c r="C811" t="s">
        <v>198</v>
      </c>
      <c r="D811" t="s">
        <v>3</v>
      </c>
      <c r="E811" t="s">
        <v>26</v>
      </c>
      <c r="F811" s="2">
        <v>43531</v>
      </c>
      <c r="G811" s="3">
        <v>4</v>
      </c>
      <c r="H811" s="3">
        <v>4</v>
      </c>
      <c r="I811" s="3">
        <v>4</v>
      </c>
      <c r="J811" s="3">
        <v>4</v>
      </c>
      <c r="K811" s="3">
        <v>5</v>
      </c>
      <c r="L811" s="3">
        <v>4</v>
      </c>
      <c r="M811" s="3">
        <v>4</v>
      </c>
    </row>
    <row r="812" spans="1:13">
      <c r="A812" t="s">
        <v>73</v>
      </c>
      <c r="B812" t="s">
        <v>2</v>
      </c>
      <c r="C812" t="s">
        <v>198</v>
      </c>
      <c r="D812" t="s">
        <v>3</v>
      </c>
      <c r="E812" t="s">
        <v>4</v>
      </c>
      <c r="F812" s="2">
        <v>43556</v>
      </c>
      <c r="G812" s="3">
        <v>4</v>
      </c>
      <c r="H812" s="3">
        <v>4</v>
      </c>
      <c r="I812" s="3">
        <v>4</v>
      </c>
      <c r="J812" s="3">
        <v>4</v>
      </c>
      <c r="K812" s="3">
        <v>5</v>
      </c>
      <c r="L812" s="3">
        <v>4</v>
      </c>
      <c r="M812" s="3">
        <v>4</v>
      </c>
    </row>
    <row r="813" spans="1:13">
      <c r="A813" t="s">
        <v>7</v>
      </c>
      <c r="B813" t="s">
        <v>243</v>
      </c>
      <c r="C813" t="s">
        <v>574</v>
      </c>
      <c r="D813" t="s">
        <v>3</v>
      </c>
      <c r="E813" t="s">
        <v>252</v>
      </c>
      <c r="F813" s="2">
        <v>43466</v>
      </c>
      <c r="G813" s="3">
        <v>2</v>
      </c>
      <c r="H813" s="3">
        <v>5</v>
      </c>
      <c r="I813" s="3">
        <v>5</v>
      </c>
      <c r="J813" s="3">
        <v>3</v>
      </c>
      <c r="K813" s="3">
        <v>3</v>
      </c>
      <c r="L813" s="3">
        <v>4</v>
      </c>
      <c r="M813" s="3">
        <v>2</v>
      </c>
    </row>
    <row r="814" spans="1:13">
      <c r="A814" t="s">
        <v>558</v>
      </c>
      <c r="B814" t="s">
        <v>352</v>
      </c>
      <c r="C814" t="s">
        <v>358</v>
      </c>
      <c r="D814" t="s">
        <v>558</v>
      </c>
      <c r="E814" t="s">
        <v>60</v>
      </c>
      <c r="F814" s="2">
        <v>43375</v>
      </c>
      <c r="G814" s="3">
        <v>4</v>
      </c>
      <c r="H814" s="3">
        <v>5</v>
      </c>
      <c r="I814" s="3">
        <v>5</v>
      </c>
      <c r="J814" s="3">
        <v>3</v>
      </c>
      <c r="K814" s="3">
        <v>3</v>
      </c>
      <c r="L814" s="3">
        <v>4</v>
      </c>
      <c r="M814" s="3">
        <v>2</v>
      </c>
    </row>
    <row r="815" spans="1:13">
      <c r="A815" t="s">
        <v>30</v>
      </c>
      <c r="B815" t="s">
        <v>2</v>
      </c>
      <c r="C815" t="s">
        <v>198</v>
      </c>
      <c r="D815" t="s">
        <v>3</v>
      </c>
      <c r="E815" t="s">
        <v>12</v>
      </c>
      <c r="F815" s="2">
        <v>43347</v>
      </c>
      <c r="G815" s="3">
        <v>4</v>
      </c>
      <c r="H815" s="3">
        <v>4</v>
      </c>
      <c r="I815" s="3">
        <v>2</v>
      </c>
      <c r="J815" s="3">
        <v>3</v>
      </c>
      <c r="K815" s="3">
        <v>4</v>
      </c>
      <c r="L815" s="3">
        <v>2</v>
      </c>
      <c r="M815" s="3">
        <v>1</v>
      </c>
    </row>
    <row r="816" spans="1:13">
      <c r="A816" t="s">
        <v>98</v>
      </c>
      <c r="B816" t="s">
        <v>2</v>
      </c>
      <c r="C816" t="s">
        <v>198</v>
      </c>
      <c r="D816" t="s">
        <v>3</v>
      </c>
      <c r="E816" t="s">
        <v>201</v>
      </c>
      <c r="F816" s="2">
        <v>43683</v>
      </c>
      <c r="G816" s="3">
        <v>2</v>
      </c>
      <c r="H816" s="3">
        <v>4</v>
      </c>
      <c r="I816" s="3">
        <v>4</v>
      </c>
      <c r="J816" s="3">
        <v>5</v>
      </c>
      <c r="K816" s="3">
        <v>3</v>
      </c>
      <c r="L816" s="3">
        <v>5</v>
      </c>
      <c r="M816" s="3">
        <v>3</v>
      </c>
    </row>
    <row r="817" spans="1:13">
      <c r="A817" t="s">
        <v>420</v>
      </c>
      <c r="B817" t="s">
        <v>50</v>
      </c>
      <c r="C817" t="s">
        <v>50</v>
      </c>
      <c r="D817" t="s">
        <v>3</v>
      </c>
      <c r="E817" t="s">
        <v>52</v>
      </c>
      <c r="F817" s="2">
        <v>43504</v>
      </c>
      <c r="G817" s="3">
        <v>3</v>
      </c>
      <c r="H817" s="3">
        <v>3</v>
      </c>
      <c r="I817" s="3">
        <v>4</v>
      </c>
      <c r="J817" s="3">
        <v>4</v>
      </c>
      <c r="K817" s="3">
        <v>4</v>
      </c>
      <c r="L817" s="3">
        <v>3</v>
      </c>
      <c r="M817" s="3">
        <v>3</v>
      </c>
    </row>
    <row r="818" spans="1:13">
      <c r="A818" t="s">
        <v>694</v>
      </c>
      <c r="B818" t="s">
        <v>214</v>
      </c>
      <c r="C818" t="s">
        <v>566</v>
      </c>
      <c r="D818" t="s">
        <v>3</v>
      </c>
      <c r="E818" t="s">
        <v>421</v>
      </c>
      <c r="F818" s="2">
        <v>43467</v>
      </c>
      <c r="G818" s="3">
        <v>3</v>
      </c>
      <c r="H818" s="3">
        <v>3</v>
      </c>
      <c r="I818" s="3">
        <v>4</v>
      </c>
      <c r="J818" s="3">
        <v>2</v>
      </c>
      <c r="K818" s="3">
        <v>2</v>
      </c>
      <c r="L818" s="3">
        <v>3</v>
      </c>
      <c r="M818" s="3">
        <v>2</v>
      </c>
    </row>
    <row r="819" spans="1:13">
      <c r="A819" t="s">
        <v>554</v>
      </c>
      <c r="B819" t="s">
        <v>2</v>
      </c>
      <c r="C819" t="s">
        <v>198</v>
      </c>
      <c r="D819" t="s">
        <v>3</v>
      </c>
      <c r="E819" t="s">
        <v>135</v>
      </c>
      <c r="F819" s="2">
        <v>43254</v>
      </c>
      <c r="G819" s="3">
        <v>3</v>
      </c>
      <c r="H819" s="3">
        <v>2</v>
      </c>
      <c r="I819" s="3">
        <v>2</v>
      </c>
      <c r="J819" s="3">
        <v>2</v>
      </c>
      <c r="K819" s="3">
        <v>3</v>
      </c>
      <c r="L819" s="3">
        <v>3</v>
      </c>
      <c r="M819" s="3">
        <v>3</v>
      </c>
    </row>
    <row r="820" spans="1:13">
      <c r="A820" t="s">
        <v>30</v>
      </c>
      <c r="B820" t="s">
        <v>243</v>
      </c>
      <c r="C820" t="s">
        <v>574</v>
      </c>
      <c r="D820" t="s">
        <v>3</v>
      </c>
      <c r="E820" t="s">
        <v>12</v>
      </c>
      <c r="F820" s="2">
        <v>43290</v>
      </c>
      <c r="G820" s="3">
        <v>4</v>
      </c>
      <c r="H820" s="3">
        <v>4</v>
      </c>
      <c r="I820" s="3">
        <v>4</v>
      </c>
      <c r="J820" s="3">
        <v>4</v>
      </c>
      <c r="K820" s="3">
        <v>5</v>
      </c>
      <c r="L820" s="3">
        <v>5</v>
      </c>
      <c r="M820" s="3">
        <v>4</v>
      </c>
    </row>
    <row r="821" spans="1:13">
      <c r="A821" t="s">
        <v>422</v>
      </c>
      <c r="B821" t="s">
        <v>564</v>
      </c>
      <c r="C821" t="s">
        <v>50</v>
      </c>
      <c r="D821" t="s">
        <v>3</v>
      </c>
      <c r="E821" t="s">
        <v>146</v>
      </c>
      <c r="F821" s="2">
        <v>43282</v>
      </c>
      <c r="G821" s="3">
        <v>5</v>
      </c>
      <c r="H821" s="3">
        <v>4</v>
      </c>
      <c r="I821" s="3">
        <v>5</v>
      </c>
      <c r="J821" s="3">
        <v>4</v>
      </c>
      <c r="K821" s="3">
        <v>4</v>
      </c>
      <c r="L821" s="3">
        <v>5</v>
      </c>
      <c r="M821" s="3">
        <v>4</v>
      </c>
    </row>
    <row r="822" spans="1:13">
      <c r="A822" t="s">
        <v>16</v>
      </c>
      <c r="B822" t="s">
        <v>2</v>
      </c>
      <c r="C822" t="s">
        <v>198</v>
      </c>
      <c r="D822" t="s">
        <v>3</v>
      </c>
      <c r="E822" t="s">
        <v>26</v>
      </c>
      <c r="F822" s="2">
        <v>43161</v>
      </c>
      <c r="G822" s="3">
        <v>5</v>
      </c>
      <c r="H822" s="3">
        <v>4</v>
      </c>
      <c r="I822" s="3">
        <v>5</v>
      </c>
      <c r="J822" s="3">
        <v>4</v>
      </c>
      <c r="K822" s="3">
        <v>5</v>
      </c>
      <c r="L822" s="3">
        <v>4</v>
      </c>
      <c r="M822" s="3">
        <v>4</v>
      </c>
    </row>
    <row r="823" spans="1:13">
      <c r="A823" t="s">
        <v>423</v>
      </c>
      <c r="B823" t="s">
        <v>243</v>
      </c>
      <c r="C823" t="s">
        <v>574</v>
      </c>
      <c r="D823" t="s">
        <v>3</v>
      </c>
      <c r="E823" t="s">
        <v>49</v>
      </c>
      <c r="F823" s="2">
        <v>43409</v>
      </c>
      <c r="G823" s="3">
        <v>1</v>
      </c>
      <c r="H823" s="3">
        <v>1</v>
      </c>
      <c r="I823" s="3">
        <v>1</v>
      </c>
      <c r="J823" s="3">
        <v>3</v>
      </c>
      <c r="K823" s="3">
        <v>1</v>
      </c>
      <c r="L823" s="3">
        <v>1</v>
      </c>
      <c r="M823" s="3">
        <v>1</v>
      </c>
    </row>
    <row r="824" spans="1:13">
      <c r="A824" t="s">
        <v>424</v>
      </c>
      <c r="B824" t="s">
        <v>243</v>
      </c>
      <c r="C824" t="s">
        <v>574</v>
      </c>
      <c r="D824" t="s">
        <v>3</v>
      </c>
      <c r="E824" t="s">
        <v>162</v>
      </c>
      <c r="F824" s="2">
        <v>43164</v>
      </c>
      <c r="G824" s="3">
        <v>5</v>
      </c>
      <c r="H824" s="3">
        <v>4</v>
      </c>
      <c r="I824" s="3">
        <v>5</v>
      </c>
      <c r="J824" s="3">
        <v>5</v>
      </c>
      <c r="K824" s="3">
        <v>5</v>
      </c>
      <c r="L824" s="3">
        <v>4</v>
      </c>
      <c r="M824" s="3">
        <v>5</v>
      </c>
    </row>
    <row r="825" spans="1:13">
      <c r="A825" t="s">
        <v>695</v>
      </c>
      <c r="B825" t="s">
        <v>2</v>
      </c>
      <c r="C825" t="s">
        <v>198</v>
      </c>
      <c r="D825" t="s">
        <v>3</v>
      </c>
      <c r="E825" t="s">
        <v>23</v>
      </c>
      <c r="F825" s="2">
        <v>43165</v>
      </c>
      <c r="G825" s="3">
        <v>5</v>
      </c>
      <c r="H825" s="3">
        <v>3</v>
      </c>
      <c r="I825" s="3">
        <v>5</v>
      </c>
      <c r="J825" s="3">
        <v>4</v>
      </c>
      <c r="K825" s="3">
        <v>4</v>
      </c>
      <c r="L825" s="3">
        <v>4</v>
      </c>
      <c r="M825" s="3">
        <v>4</v>
      </c>
    </row>
    <row r="826" spans="1:13">
      <c r="A826" t="s">
        <v>153</v>
      </c>
      <c r="B826" t="s">
        <v>2</v>
      </c>
      <c r="C826" t="s">
        <v>198</v>
      </c>
      <c r="D826" t="s">
        <v>3</v>
      </c>
      <c r="E826" t="s">
        <v>558</v>
      </c>
      <c r="F826" s="2">
        <v>43165</v>
      </c>
      <c r="G826" s="3">
        <v>4</v>
      </c>
      <c r="H826" s="3">
        <v>5</v>
      </c>
      <c r="I826" s="3">
        <v>2</v>
      </c>
      <c r="J826" s="3">
        <v>4</v>
      </c>
      <c r="K826" s="3">
        <v>5</v>
      </c>
      <c r="L826" s="3">
        <v>5</v>
      </c>
      <c r="M826" s="3">
        <v>2</v>
      </c>
    </row>
    <row r="827" spans="1:13">
      <c r="A827" t="s">
        <v>77</v>
      </c>
      <c r="B827" t="s">
        <v>2</v>
      </c>
      <c r="C827" t="s">
        <v>198</v>
      </c>
      <c r="D827" t="s">
        <v>55</v>
      </c>
      <c r="E827" t="s">
        <v>23</v>
      </c>
      <c r="F827" s="2">
        <v>43166</v>
      </c>
      <c r="G827" s="3">
        <v>5</v>
      </c>
      <c r="H827" s="3">
        <v>4</v>
      </c>
      <c r="I827" s="3">
        <v>4</v>
      </c>
      <c r="J827" s="3">
        <v>4</v>
      </c>
      <c r="K827" s="3">
        <v>5</v>
      </c>
      <c r="L827" s="3">
        <v>4</v>
      </c>
      <c r="M827" s="3">
        <v>4</v>
      </c>
    </row>
    <row r="828" spans="1:13">
      <c r="A828" t="s">
        <v>31</v>
      </c>
      <c r="B828" t="s">
        <v>2</v>
      </c>
      <c r="C828" t="s">
        <v>198</v>
      </c>
      <c r="D828" t="s">
        <v>3</v>
      </c>
      <c r="E828" t="s">
        <v>23</v>
      </c>
      <c r="F828" s="2">
        <v>45021</v>
      </c>
      <c r="G828" s="3">
        <v>5</v>
      </c>
      <c r="H828" s="3">
        <v>5</v>
      </c>
      <c r="I828" s="3">
        <v>5</v>
      </c>
      <c r="J828" s="3">
        <v>5</v>
      </c>
      <c r="K828" s="3">
        <v>5</v>
      </c>
      <c r="L828" s="3">
        <v>5</v>
      </c>
      <c r="M828" s="3">
        <v>5</v>
      </c>
    </row>
    <row r="829" spans="1:13">
      <c r="A829" t="s">
        <v>297</v>
      </c>
      <c r="B829" t="s">
        <v>2</v>
      </c>
      <c r="C829" t="s">
        <v>198</v>
      </c>
      <c r="D829" t="s">
        <v>3</v>
      </c>
      <c r="E829" t="s">
        <v>616</v>
      </c>
      <c r="F829" s="2">
        <v>43191</v>
      </c>
      <c r="G829" s="3">
        <v>1</v>
      </c>
      <c r="H829" s="3">
        <v>1</v>
      </c>
      <c r="I829" s="3">
        <v>1</v>
      </c>
      <c r="J829" s="3">
        <v>1</v>
      </c>
      <c r="K829" s="3">
        <v>3</v>
      </c>
      <c r="L829" s="3">
        <v>2</v>
      </c>
      <c r="M829" s="3">
        <v>1</v>
      </c>
    </row>
    <row r="830" spans="1:13">
      <c r="A830" t="s">
        <v>1</v>
      </c>
      <c r="B830" t="s">
        <v>2</v>
      </c>
      <c r="C830" t="s">
        <v>198</v>
      </c>
      <c r="D830" t="s">
        <v>3</v>
      </c>
      <c r="E830" t="s">
        <v>4</v>
      </c>
      <c r="F830" s="2">
        <v>44324</v>
      </c>
      <c r="G830" s="3">
        <v>5</v>
      </c>
      <c r="H830" s="3">
        <v>5</v>
      </c>
      <c r="I830" s="3">
        <v>5</v>
      </c>
      <c r="J830" s="3">
        <v>5</v>
      </c>
      <c r="K830" s="3">
        <v>5</v>
      </c>
      <c r="L830" s="3">
        <v>5</v>
      </c>
      <c r="M830" s="3">
        <v>5</v>
      </c>
    </row>
    <row r="831" spans="1:13">
      <c r="A831" t="s">
        <v>425</v>
      </c>
      <c r="B831" t="s">
        <v>2</v>
      </c>
      <c r="C831" t="s">
        <v>198</v>
      </c>
      <c r="D831" t="s">
        <v>3</v>
      </c>
      <c r="E831" t="s">
        <v>52</v>
      </c>
      <c r="F831" s="2">
        <v>43350</v>
      </c>
      <c r="G831" s="3">
        <v>2</v>
      </c>
      <c r="H831" s="3">
        <v>4</v>
      </c>
      <c r="I831" s="3">
        <v>2</v>
      </c>
      <c r="J831" s="3">
        <v>2</v>
      </c>
      <c r="K831" s="3">
        <v>3</v>
      </c>
      <c r="L831" s="3">
        <v>4</v>
      </c>
      <c r="M831" s="3">
        <v>2</v>
      </c>
    </row>
    <row r="832" spans="1:13">
      <c r="A832" t="s">
        <v>367</v>
      </c>
      <c r="B832" t="s">
        <v>2</v>
      </c>
      <c r="C832" t="s">
        <v>198</v>
      </c>
      <c r="D832" t="s">
        <v>3</v>
      </c>
      <c r="E832" t="s">
        <v>59</v>
      </c>
      <c r="F832" s="2">
        <v>43139</v>
      </c>
      <c r="G832" s="3">
        <v>3</v>
      </c>
      <c r="H832" s="3">
        <v>4</v>
      </c>
      <c r="I832" s="3">
        <v>4</v>
      </c>
      <c r="J832" s="3">
        <v>3</v>
      </c>
      <c r="K832" s="3">
        <v>1</v>
      </c>
      <c r="L832" s="3">
        <v>4</v>
      </c>
      <c r="M832" s="3">
        <v>1</v>
      </c>
    </row>
    <row r="833" spans="1:13">
      <c r="A833" t="s">
        <v>31</v>
      </c>
      <c r="B833" t="s">
        <v>2</v>
      </c>
      <c r="C833" t="s">
        <v>198</v>
      </c>
      <c r="D833" t="s">
        <v>3</v>
      </c>
      <c r="E833" t="s">
        <v>26</v>
      </c>
      <c r="F833" s="2">
        <v>43222</v>
      </c>
      <c r="G833" s="3">
        <v>5</v>
      </c>
      <c r="H833" s="3">
        <v>5</v>
      </c>
      <c r="I833" s="3">
        <v>5</v>
      </c>
      <c r="J833" s="3">
        <v>5</v>
      </c>
      <c r="K833" s="3">
        <v>5</v>
      </c>
      <c r="L833" s="3">
        <v>5</v>
      </c>
      <c r="M833" s="3">
        <v>5</v>
      </c>
    </row>
    <row r="834" spans="1:13">
      <c r="A834" t="s">
        <v>696</v>
      </c>
      <c r="B834" t="s">
        <v>2</v>
      </c>
      <c r="C834" t="s">
        <v>198</v>
      </c>
      <c r="D834" t="s">
        <v>3</v>
      </c>
      <c r="E834" t="s">
        <v>697</v>
      </c>
      <c r="F834" s="2">
        <v>43253</v>
      </c>
      <c r="G834" s="3">
        <v>5</v>
      </c>
      <c r="H834" s="3">
        <v>5</v>
      </c>
      <c r="I834" s="3">
        <v>5</v>
      </c>
      <c r="J834" s="3">
        <v>5</v>
      </c>
      <c r="K834" s="3">
        <v>5</v>
      </c>
      <c r="L834" s="3">
        <v>5</v>
      </c>
      <c r="M834" s="3">
        <v>5</v>
      </c>
    </row>
    <row r="835" spans="1:13">
      <c r="A835" t="s">
        <v>176</v>
      </c>
      <c r="B835" t="s">
        <v>50</v>
      </c>
      <c r="C835" t="s">
        <v>50</v>
      </c>
      <c r="D835" t="s">
        <v>3</v>
      </c>
      <c r="E835" t="s">
        <v>59</v>
      </c>
      <c r="F835" s="2">
        <v>43350</v>
      </c>
      <c r="G835" s="3">
        <v>5</v>
      </c>
      <c r="H835" s="3">
        <v>4</v>
      </c>
      <c r="I835" s="3">
        <v>4</v>
      </c>
      <c r="J835" s="3">
        <v>4</v>
      </c>
      <c r="K835" s="3">
        <v>4</v>
      </c>
      <c r="L835" s="3">
        <v>4</v>
      </c>
      <c r="M835" s="3">
        <v>5</v>
      </c>
    </row>
    <row r="836" spans="1:13">
      <c r="A836" t="s">
        <v>1</v>
      </c>
      <c r="B836" t="s">
        <v>2</v>
      </c>
      <c r="C836" t="s">
        <v>198</v>
      </c>
      <c r="D836" t="s">
        <v>3</v>
      </c>
      <c r="E836" t="s">
        <v>23</v>
      </c>
      <c r="F836" s="2">
        <v>43319</v>
      </c>
      <c r="G836" s="3">
        <v>4</v>
      </c>
      <c r="H836" s="3">
        <v>5</v>
      </c>
      <c r="I836" s="3">
        <v>4</v>
      </c>
      <c r="J836" s="3">
        <v>5</v>
      </c>
      <c r="K836" s="3">
        <v>5</v>
      </c>
      <c r="L836" s="3">
        <v>5</v>
      </c>
      <c r="M836" s="3">
        <v>4</v>
      </c>
    </row>
    <row r="837" spans="1:13">
      <c r="A837" t="s">
        <v>426</v>
      </c>
      <c r="B837" t="s">
        <v>39</v>
      </c>
      <c r="C837" t="s">
        <v>358</v>
      </c>
      <c r="D837" t="s">
        <v>3</v>
      </c>
      <c r="E837" t="s">
        <v>701</v>
      </c>
      <c r="F837" s="2">
        <v>43379</v>
      </c>
      <c r="G837" s="3">
        <v>1</v>
      </c>
      <c r="H837" s="3">
        <v>5</v>
      </c>
      <c r="I837" s="3">
        <v>5</v>
      </c>
      <c r="J837" s="3">
        <v>5</v>
      </c>
      <c r="K837" s="3">
        <v>5</v>
      </c>
      <c r="L837" s="3">
        <v>5</v>
      </c>
      <c r="M837" s="3">
        <v>5</v>
      </c>
    </row>
    <row r="838" spans="1:13">
      <c r="A838" t="s">
        <v>535</v>
      </c>
      <c r="B838" t="s">
        <v>558</v>
      </c>
      <c r="C838" t="s">
        <v>558</v>
      </c>
      <c r="D838" t="s">
        <v>3</v>
      </c>
      <c r="E838" t="s">
        <v>494</v>
      </c>
      <c r="F838" s="2">
        <v>43378</v>
      </c>
      <c r="G838" s="3">
        <v>5</v>
      </c>
      <c r="H838" s="3">
        <v>4</v>
      </c>
      <c r="I838" s="3">
        <v>4</v>
      </c>
      <c r="J838" s="3">
        <v>4</v>
      </c>
      <c r="K838" s="3">
        <v>5</v>
      </c>
      <c r="L838" s="3">
        <v>5</v>
      </c>
      <c r="M838" s="3">
        <v>4</v>
      </c>
    </row>
    <row r="839" spans="1:13">
      <c r="A839" t="s">
        <v>91</v>
      </c>
      <c r="B839" t="s">
        <v>39</v>
      </c>
      <c r="C839" t="s">
        <v>358</v>
      </c>
      <c r="D839" t="s">
        <v>3</v>
      </c>
      <c r="E839" t="s">
        <v>63</v>
      </c>
      <c r="F839" s="2">
        <v>43498</v>
      </c>
      <c r="G839" s="3">
        <v>4</v>
      </c>
      <c r="H839" s="3">
        <v>4</v>
      </c>
      <c r="I839" s="3">
        <v>4</v>
      </c>
      <c r="J839" s="3">
        <v>4</v>
      </c>
      <c r="K839" s="3">
        <v>5</v>
      </c>
      <c r="L839" s="3">
        <v>5</v>
      </c>
      <c r="M839" s="3">
        <v>4</v>
      </c>
    </row>
    <row r="840" spans="1:13">
      <c r="A840" t="s">
        <v>1</v>
      </c>
      <c r="B840" t="s">
        <v>2</v>
      </c>
      <c r="C840" t="s">
        <v>198</v>
      </c>
      <c r="D840" t="s">
        <v>3</v>
      </c>
      <c r="E840" t="s">
        <v>26</v>
      </c>
      <c r="F840" s="2">
        <v>43344</v>
      </c>
      <c r="G840" s="3">
        <v>5</v>
      </c>
      <c r="H840" s="3">
        <v>2</v>
      </c>
      <c r="I840" s="3">
        <v>4</v>
      </c>
      <c r="J840" s="3">
        <v>4</v>
      </c>
      <c r="K840" s="3">
        <v>4</v>
      </c>
      <c r="L840" s="3">
        <v>4</v>
      </c>
      <c r="M840" s="3">
        <v>2</v>
      </c>
    </row>
    <row r="841" spans="1:13">
      <c r="A841" t="s">
        <v>73</v>
      </c>
      <c r="B841" t="s">
        <v>427</v>
      </c>
      <c r="C841" t="s">
        <v>427</v>
      </c>
      <c r="D841" t="s">
        <v>3</v>
      </c>
      <c r="E841" t="s">
        <v>558</v>
      </c>
      <c r="F841" s="2">
        <v>43413</v>
      </c>
      <c r="G841" s="3">
        <v>5</v>
      </c>
      <c r="H841" s="3">
        <v>5</v>
      </c>
      <c r="I841" s="3">
        <v>5</v>
      </c>
      <c r="J841" s="3">
        <v>5</v>
      </c>
      <c r="K841" s="3">
        <v>5</v>
      </c>
      <c r="L841" s="3">
        <v>5</v>
      </c>
      <c r="M841" s="3">
        <v>5</v>
      </c>
    </row>
    <row r="842" spans="1:13">
      <c r="A842" t="s">
        <v>7</v>
      </c>
      <c r="B842" t="s">
        <v>558</v>
      </c>
      <c r="C842" t="s">
        <v>558</v>
      </c>
      <c r="D842" t="s">
        <v>3</v>
      </c>
      <c r="E842" t="s">
        <v>558</v>
      </c>
      <c r="F842" s="2">
        <v>43806</v>
      </c>
      <c r="G842" s="3">
        <v>4</v>
      </c>
      <c r="H842" s="3">
        <v>5</v>
      </c>
      <c r="I842" s="3">
        <v>5</v>
      </c>
      <c r="J842" s="3">
        <v>5</v>
      </c>
      <c r="K842" s="3">
        <v>5</v>
      </c>
      <c r="L842" s="3">
        <v>5</v>
      </c>
      <c r="M842" s="3">
        <v>5</v>
      </c>
    </row>
    <row r="843" spans="1:13">
      <c r="A843" t="s">
        <v>30</v>
      </c>
      <c r="B843" t="s">
        <v>2</v>
      </c>
      <c r="C843" t="s">
        <v>198</v>
      </c>
      <c r="D843" t="s">
        <v>3</v>
      </c>
      <c r="E843" t="s">
        <v>4</v>
      </c>
      <c r="F843" s="2">
        <v>43225</v>
      </c>
      <c r="G843" s="3">
        <v>4</v>
      </c>
      <c r="H843" s="3">
        <v>3</v>
      </c>
      <c r="I843" s="3">
        <v>4</v>
      </c>
      <c r="J843" s="3">
        <v>3</v>
      </c>
      <c r="K843" s="3">
        <v>4</v>
      </c>
      <c r="L843" s="3">
        <v>3</v>
      </c>
      <c r="M843" s="3">
        <v>4</v>
      </c>
    </row>
    <row r="844" spans="1:13">
      <c r="A844" t="s">
        <v>428</v>
      </c>
      <c r="B844" t="s">
        <v>2</v>
      </c>
      <c r="C844" t="s">
        <v>198</v>
      </c>
      <c r="D844" t="s">
        <v>3</v>
      </c>
      <c r="E844" t="s">
        <v>429</v>
      </c>
      <c r="F844" s="2">
        <v>43313</v>
      </c>
      <c r="G844" s="3">
        <v>5</v>
      </c>
      <c r="H844" s="3">
        <v>3</v>
      </c>
      <c r="I844" s="3">
        <v>4</v>
      </c>
      <c r="J844" s="3">
        <v>3</v>
      </c>
      <c r="K844" s="3">
        <v>4</v>
      </c>
      <c r="L844" s="3">
        <v>3</v>
      </c>
      <c r="M844" s="3">
        <v>4</v>
      </c>
    </row>
    <row r="845" spans="1:13">
      <c r="A845" t="s">
        <v>430</v>
      </c>
      <c r="B845" t="s">
        <v>288</v>
      </c>
      <c r="C845" t="s">
        <v>572</v>
      </c>
      <c r="D845" t="s">
        <v>3</v>
      </c>
      <c r="E845" t="s">
        <v>558</v>
      </c>
      <c r="F845" s="2">
        <v>43319</v>
      </c>
      <c r="G845" s="3">
        <v>4</v>
      </c>
      <c r="H845" s="3">
        <v>3</v>
      </c>
      <c r="I845" s="3">
        <v>4</v>
      </c>
      <c r="J845" s="3">
        <v>2</v>
      </c>
      <c r="K845" s="3">
        <v>4</v>
      </c>
      <c r="L845" s="3">
        <v>2</v>
      </c>
      <c r="M845" s="3">
        <v>2</v>
      </c>
    </row>
    <row r="846" spans="1:13">
      <c r="A846" t="s">
        <v>431</v>
      </c>
      <c r="B846" t="s">
        <v>558</v>
      </c>
      <c r="C846" t="s">
        <v>558</v>
      </c>
      <c r="D846" t="s">
        <v>3</v>
      </c>
      <c r="E846" t="s">
        <v>63</v>
      </c>
      <c r="F846" s="2">
        <v>43009</v>
      </c>
      <c r="G846" s="3">
        <v>1</v>
      </c>
      <c r="H846" s="3">
        <v>5</v>
      </c>
      <c r="I846" s="3">
        <v>5</v>
      </c>
      <c r="J846" s="3">
        <v>4</v>
      </c>
      <c r="K846" s="3">
        <v>5</v>
      </c>
      <c r="L846" s="3">
        <v>3</v>
      </c>
      <c r="M846" s="3">
        <v>4</v>
      </c>
    </row>
    <row r="847" spans="1:13">
      <c r="A847" t="s">
        <v>432</v>
      </c>
      <c r="B847" t="s">
        <v>394</v>
      </c>
      <c r="C847" t="s">
        <v>569</v>
      </c>
      <c r="D847" t="s">
        <v>3</v>
      </c>
      <c r="E847" t="s">
        <v>433</v>
      </c>
      <c r="F847" s="2">
        <v>43499</v>
      </c>
      <c r="G847" s="3">
        <v>3</v>
      </c>
      <c r="H847" s="3">
        <v>4</v>
      </c>
      <c r="I847" s="3">
        <v>4</v>
      </c>
      <c r="J847" s="3">
        <v>3</v>
      </c>
      <c r="K847" s="3">
        <v>4</v>
      </c>
      <c r="L847" s="3">
        <v>4</v>
      </c>
      <c r="M847" s="3">
        <v>4</v>
      </c>
    </row>
    <row r="848" spans="1:13">
      <c r="A848" t="s">
        <v>35</v>
      </c>
      <c r="B848" t="s">
        <v>2</v>
      </c>
      <c r="C848" t="s">
        <v>198</v>
      </c>
      <c r="D848" t="s">
        <v>3</v>
      </c>
      <c r="E848" t="s">
        <v>700</v>
      </c>
      <c r="F848" s="2">
        <v>43591</v>
      </c>
      <c r="G848" s="3">
        <v>5</v>
      </c>
      <c r="H848" s="3">
        <v>5</v>
      </c>
      <c r="I848" s="3">
        <v>5</v>
      </c>
      <c r="J848" s="3">
        <v>5</v>
      </c>
      <c r="K848" s="3">
        <v>5</v>
      </c>
      <c r="L848" s="3">
        <v>5</v>
      </c>
      <c r="M848" s="3">
        <v>4</v>
      </c>
    </row>
    <row r="849" spans="1:13">
      <c r="A849" t="s">
        <v>238</v>
      </c>
      <c r="B849" t="s">
        <v>2</v>
      </c>
      <c r="C849" t="s">
        <v>198</v>
      </c>
      <c r="D849" t="s">
        <v>3</v>
      </c>
      <c r="E849" t="s">
        <v>26</v>
      </c>
      <c r="F849" s="2">
        <v>43352</v>
      </c>
      <c r="G849" s="3">
        <v>4</v>
      </c>
      <c r="H849" s="3">
        <v>3</v>
      </c>
      <c r="I849" s="3">
        <v>3</v>
      </c>
      <c r="J849" s="3">
        <v>3</v>
      </c>
      <c r="K849" s="3">
        <v>5</v>
      </c>
      <c r="L849" s="3">
        <v>5</v>
      </c>
      <c r="M849" s="3">
        <v>4</v>
      </c>
    </row>
    <row r="850" spans="1:13">
      <c r="A850" t="s">
        <v>98</v>
      </c>
      <c r="B850" t="s">
        <v>2</v>
      </c>
      <c r="C850" t="s">
        <v>198</v>
      </c>
      <c r="D850" t="s">
        <v>3</v>
      </c>
      <c r="E850" t="s">
        <v>435</v>
      </c>
      <c r="F850" s="2">
        <v>43284</v>
      </c>
      <c r="G850" s="3">
        <v>5</v>
      </c>
      <c r="H850" s="3">
        <v>3</v>
      </c>
      <c r="I850" s="3">
        <v>3</v>
      </c>
      <c r="J850" s="3">
        <v>3</v>
      </c>
      <c r="K850" s="3">
        <v>5</v>
      </c>
      <c r="L850" s="3">
        <v>5</v>
      </c>
      <c r="M850" s="3">
        <v>4</v>
      </c>
    </row>
    <row r="851" spans="1:13">
      <c r="A851" t="s">
        <v>436</v>
      </c>
      <c r="B851" t="s">
        <v>2</v>
      </c>
      <c r="C851" t="s">
        <v>198</v>
      </c>
      <c r="D851" t="s">
        <v>3</v>
      </c>
      <c r="E851" t="s">
        <v>122</v>
      </c>
      <c r="F851" s="2">
        <v>43382</v>
      </c>
      <c r="G851" s="3">
        <v>5</v>
      </c>
      <c r="H851" s="3">
        <v>5</v>
      </c>
      <c r="I851" s="3">
        <v>4</v>
      </c>
      <c r="J851" s="3">
        <v>5</v>
      </c>
      <c r="K851" s="3">
        <v>5</v>
      </c>
      <c r="L851" s="3">
        <v>5</v>
      </c>
      <c r="M851" s="3">
        <v>5</v>
      </c>
    </row>
    <row r="852" spans="1:13">
      <c r="A852" t="s">
        <v>554</v>
      </c>
      <c r="B852" t="s">
        <v>2</v>
      </c>
      <c r="C852" t="s">
        <v>198</v>
      </c>
      <c r="D852" t="s">
        <v>3</v>
      </c>
      <c r="E852" t="s">
        <v>12</v>
      </c>
      <c r="F852" s="2">
        <v>43926</v>
      </c>
      <c r="G852" s="3">
        <v>5</v>
      </c>
      <c r="H852" s="3">
        <v>5</v>
      </c>
      <c r="I852" s="3">
        <v>5</v>
      </c>
      <c r="J852" s="3">
        <v>5</v>
      </c>
      <c r="K852" s="3">
        <v>5</v>
      </c>
      <c r="L852" s="3">
        <v>5</v>
      </c>
      <c r="M852" s="3">
        <v>5</v>
      </c>
    </row>
    <row r="853" spans="1:13">
      <c r="A853" t="s">
        <v>208</v>
      </c>
      <c r="B853" t="s">
        <v>2</v>
      </c>
      <c r="C853" t="s">
        <v>198</v>
      </c>
      <c r="D853" t="s">
        <v>3</v>
      </c>
      <c r="E853" t="s">
        <v>4</v>
      </c>
      <c r="F853" s="2">
        <v>43313</v>
      </c>
      <c r="G853" s="3">
        <v>5</v>
      </c>
      <c r="H853" s="3">
        <v>5</v>
      </c>
      <c r="I853" s="3">
        <v>5</v>
      </c>
      <c r="J853" s="3">
        <v>5</v>
      </c>
      <c r="K853" s="3">
        <v>5</v>
      </c>
      <c r="L853" s="3">
        <v>5</v>
      </c>
      <c r="M853" s="3">
        <v>5</v>
      </c>
    </row>
    <row r="854" spans="1:13">
      <c r="A854" t="s">
        <v>1</v>
      </c>
      <c r="B854" t="s">
        <v>2</v>
      </c>
      <c r="C854" t="s">
        <v>198</v>
      </c>
      <c r="D854" t="s">
        <v>3</v>
      </c>
      <c r="E854" t="s">
        <v>23</v>
      </c>
      <c r="F854" s="2">
        <v>43350</v>
      </c>
      <c r="G854" s="3">
        <v>5</v>
      </c>
      <c r="H854" s="3">
        <v>5</v>
      </c>
      <c r="I854" s="3">
        <v>5</v>
      </c>
      <c r="J854" s="3">
        <v>5</v>
      </c>
      <c r="K854" s="3">
        <v>5</v>
      </c>
      <c r="L854" s="3">
        <v>5</v>
      </c>
      <c r="M854" s="3">
        <v>5</v>
      </c>
    </row>
    <row r="855" spans="1:13">
      <c r="A855" t="s">
        <v>698</v>
      </c>
      <c r="B855" t="s">
        <v>2</v>
      </c>
      <c r="C855" t="s">
        <v>198</v>
      </c>
      <c r="D855" t="s">
        <v>55</v>
      </c>
      <c r="E855" t="s">
        <v>348</v>
      </c>
      <c r="F855" s="2">
        <v>43229</v>
      </c>
      <c r="G855" s="3">
        <v>5</v>
      </c>
      <c r="H855" s="3">
        <v>5</v>
      </c>
      <c r="I855" s="3">
        <v>5</v>
      </c>
      <c r="J855" s="3">
        <v>5</v>
      </c>
      <c r="K855" s="3">
        <v>3</v>
      </c>
      <c r="L855" s="3">
        <v>5</v>
      </c>
      <c r="M855" s="3">
        <v>5</v>
      </c>
    </row>
    <row r="856" spans="1:13">
      <c r="A856" t="s">
        <v>176</v>
      </c>
      <c r="B856" t="s">
        <v>8</v>
      </c>
      <c r="C856" t="s">
        <v>570</v>
      </c>
      <c r="D856" t="s">
        <v>3</v>
      </c>
      <c r="E856" t="s">
        <v>558</v>
      </c>
      <c r="F856" s="2">
        <v>43409</v>
      </c>
      <c r="G856" s="3">
        <v>5</v>
      </c>
      <c r="H856" s="3">
        <v>5</v>
      </c>
      <c r="I856" s="3">
        <v>5</v>
      </c>
      <c r="J856" s="3">
        <v>5</v>
      </c>
      <c r="K856" s="3">
        <v>5</v>
      </c>
      <c r="L856" s="3">
        <v>5</v>
      </c>
      <c r="M856" s="3">
        <v>5</v>
      </c>
    </row>
    <row r="857" spans="1:13">
      <c r="A857" t="s">
        <v>164</v>
      </c>
      <c r="B857" t="s">
        <v>78</v>
      </c>
      <c r="C857" t="s">
        <v>569</v>
      </c>
      <c r="D857" t="s">
        <v>55</v>
      </c>
      <c r="E857" t="s">
        <v>619</v>
      </c>
      <c r="F857" s="2">
        <v>43252</v>
      </c>
      <c r="G857" s="3">
        <v>3</v>
      </c>
      <c r="H857" s="3">
        <v>4</v>
      </c>
      <c r="I857" s="3">
        <v>4</v>
      </c>
      <c r="J857" s="3">
        <v>4</v>
      </c>
      <c r="K857" s="3">
        <v>5</v>
      </c>
      <c r="L857" s="3">
        <v>5</v>
      </c>
      <c r="M857" s="3">
        <v>4</v>
      </c>
    </row>
    <row r="858" spans="1:13">
      <c r="A858" t="s">
        <v>699</v>
      </c>
      <c r="B858" t="s">
        <v>437</v>
      </c>
      <c r="C858" t="s">
        <v>358</v>
      </c>
      <c r="D858" t="s">
        <v>3</v>
      </c>
      <c r="E858" t="s">
        <v>494</v>
      </c>
      <c r="F858" s="2">
        <v>43313</v>
      </c>
      <c r="G858" s="3">
        <v>5</v>
      </c>
      <c r="H858" s="3">
        <v>5</v>
      </c>
      <c r="I858" s="3">
        <v>5</v>
      </c>
      <c r="J858" s="3">
        <v>5</v>
      </c>
      <c r="K858" s="3">
        <v>4</v>
      </c>
      <c r="L858" s="3">
        <v>5</v>
      </c>
      <c r="M858" s="3">
        <v>4</v>
      </c>
    </row>
    <row r="859" spans="1:13">
      <c r="A859" t="s">
        <v>16</v>
      </c>
      <c r="B859" t="s">
        <v>214</v>
      </c>
      <c r="C859" t="s">
        <v>566</v>
      </c>
      <c r="D859" t="s">
        <v>3</v>
      </c>
      <c r="E859" t="s">
        <v>616</v>
      </c>
      <c r="F859" s="2">
        <v>43229</v>
      </c>
      <c r="G859" s="3">
        <v>4</v>
      </c>
      <c r="H859" s="3">
        <v>2</v>
      </c>
      <c r="I859" s="3">
        <v>5</v>
      </c>
      <c r="J859" s="3">
        <v>4</v>
      </c>
      <c r="K859" s="3">
        <v>5</v>
      </c>
      <c r="L859" s="3">
        <v>3</v>
      </c>
      <c r="M859" s="3">
        <v>4</v>
      </c>
    </row>
    <row r="860" spans="1:13">
      <c r="A860" t="s">
        <v>1</v>
      </c>
      <c r="B860" t="s">
        <v>2</v>
      </c>
      <c r="C860" t="s">
        <v>198</v>
      </c>
      <c r="D860" t="s">
        <v>3</v>
      </c>
      <c r="E860" t="s">
        <v>4</v>
      </c>
      <c r="F860" s="2">
        <v>43160</v>
      </c>
      <c r="G860" s="3">
        <v>3</v>
      </c>
      <c r="H860" s="3">
        <v>2</v>
      </c>
      <c r="I860" s="3">
        <v>3</v>
      </c>
      <c r="J860" s="3">
        <v>2</v>
      </c>
      <c r="K860" s="3">
        <v>2</v>
      </c>
      <c r="L860" s="3">
        <v>3</v>
      </c>
      <c r="M860" s="3">
        <v>3</v>
      </c>
    </row>
    <row r="861" spans="1:13">
      <c r="A861" t="s">
        <v>535</v>
      </c>
      <c r="B861" t="s">
        <v>32</v>
      </c>
      <c r="C861" t="s">
        <v>567</v>
      </c>
      <c r="D861" t="s">
        <v>3</v>
      </c>
      <c r="E861" t="s">
        <v>438</v>
      </c>
      <c r="F861" s="2">
        <v>43165</v>
      </c>
      <c r="G861" s="3">
        <v>4</v>
      </c>
      <c r="H861" s="3">
        <v>3</v>
      </c>
      <c r="I861" s="3">
        <v>4</v>
      </c>
      <c r="J861" s="3">
        <v>3</v>
      </c>
      <c r="K861" s="3">
        <v>3</v>
      </c>
      <c r="L861" s="3">
        <v>3</v>
      </c>
      <c r="M861" s="3">
        <v>3</v>
      </c>
    </row>
    <row r="862" spans="1:13">
      <c r="A862" t="s">
        <v>19</v>
      </c>
      <c r="B862" t="s">
        <v>2</v>
      </c>
      <c r="C862" t="s">
        <v>198</v>
      </c>
      <c r="D862" t="s">
        <v>3</v>
      </c>
      <c r="E862" t="s">
        <v>12</v>
      </c>
      <c r="F862" s="2">
        <v>43134</v>
      </c>
      <c r="G862" s="3">
        <v>5</v>
      </c>
      <c r="H862" s="3">
        <v>5</v>
      </c>
      <c r="I862" s="3">
        <v>4</v>
      </c>
      <c r="J862" s="3">
        <v>4</v>
      </c>
      <c r="K862" s="3">
        <v>5</v>
      </c>
      <c r="L862" s="3">
        <v>5</v>
      </c>
      <c r="M862" s="3">
        <v>3</v>
      </c>
    </row>
    <row r="863" spans="1:13">
      <c r="A863" t="s">
        <v>540</v>
      </c>
      <c r="B863" t="s">
        <v>78</v>
      </c>
      <c r="C863" t="s">
        <v>712</v>
      </c>
      <c r="D863" t="s">
        <v>3</v>
      </c>
      <c r="E863" t="s">
        <v>146</v>
      </c>
      <c r="F863" s="2">
        <v>43314</v>
      </c>
      <c r="G863" s="3">
        <v>5</v>
      </c>
      <c r="H863" s="3">
        <v>5</v>
      </c>
      <c r="I863" s="3">
        <v>1</v>
      </c>
      <c r="J863" s="3">
        <v>1</v>
      </c>
      <c r="K863" s="3">
        <v>2</v>
      </c>
      <c r="L863" s="3">
        <v>1</v>
      </c>
      <c r="M863" s="3">
        <v>1</v>
      </c>
    </row>
    <row r="864" spans="1:13">
      <c r="A864" t="s">
        <v>439</v>
      </c>
      <c r="B864" t="s">
        <v>82</v>
      </c>
      <c r="C864" t="s">
        <v>566</v>
      </c>
      <c r="D864" t="s">
        <v>3</v>
      </c>
      <c r="E864" t="s">
        <v>558</v>
      </c>
      <c r="F864" s="2">
        <v>44805</v>
      </c>
      <c r="G864" s="3">
        <v>4</v>
      </c>
      <c r="H864" s="3">
        <v>3</v>
      </c>
      <c r="I864" s="3">
        <v>2</v>
      </c>
      <c r="J864" s="3">
        <v>2</v>
      </c>
      <c r="K864" s="3">
        <v>4</v>
      </c>
      <c r="L864" s="3">
        <v>1</v>
      </c>
      <c r="M864" s="3">
        <v>3</v>
      </c>
    </row>
    <row r="865" spans="1:13">
      <c r="A865" t="s">
        <v>440</v>
      </c>
      <c r="B865" t="s">
        <v>2</v>
      </c>
      <c r="C865" t="s">
        <v>198</v>
      </c>
      <c r="D865" t="s">
        <v>3</v>
      </c>
      <c r="E865" t="s">
        <v>558</v>
      </c>
      <c r="F865" s="2">
        <v>43225</v>
      </c>
      <c r="G865" s="3">
        <v>5</v>
      </c>
      <c r="H865" s="3">
        <v>5</v>
      </c>
      <c r="I865" s="3">
        <v>5</v>
      </c>
      <c r="J865" s="3">
        <v>5</v>
      </c>
      <c r="K865" s="3">
        <v>5</v>
      </c>
      <c r="L865" s="3">
        <v>5</v>
      </c>
      <c r="M865" s="3">
        <v>5</v>
      </c>
    </row>
    <row r="866" spans="1:13">
      <c r="A866" t="s">
        <v>77</v>
      </c>
      <c r="B866" t="s">
        <v>2</v>
      </c>
      <c r="C866" t="s">
        <v>198</v>
      </c>
      <c r="D866" t="s">
        <v>55</v>
      </c>
      <c r="E866" t="s">
        <v>558</v>
      </c>
      <c r="F866" s="2">
        <v>43160</v>
      </c>
      <c r="G866" s="3">
        <v>2</v>
      </c>
      <c r="H866" s="3">
        <v>3</v>
      </c>
      <c r="I866" s="3">
        <v>1</v>
      </c>
      <c r="J866" s="3">
        <v>3</v>
      </c>
      <c r="K866" s="3">
        <v>5</v>
      </c>
      <c r="L866" s="3">
        <v>4</v>
      </c>
      <c r="M866" s="3">
        <v>1</v>
      </c>
    </row>
    <row r="867" spans="1:13">
      <c r="A867" t="s">
        <v>702</v>
      </c>
      <c r="B867" t="s">
        <v>2</v>
      </c>
      <c r="C867" t="s">
        <v>198</v>
      </c>
      <c r="D867" t="s">
        <v>3</v>
      </c>
      <c r="E867" t="s">
        <v>441</v>
      </c>
      <c r="F867" s="2">
        <v>43195</v>
      </c>
      <c r="G867" s="3">
        <v>1</v>
      </c>
      <c r="H867" s="3">
        <v>1</v>
      </c>
      <c r="I867" s="3">
        <v>1</v>
      </c>
      <c r="J867" s="3">
        <v>1</v>
      </c>
      <c r="K867" s="3">
        <v>4</v>
      </c>
      <c r="L867" s="3">
        <v>1</v>
      </c>
      <c r="M867" s="3">
        <v>1</v>
      </c>
    </row>
    <row r="868" spans="1:13">
      <c r="A868" t="s">
        <v>703</v>
      </c>
      <c r="B868" t="s">
        <v>2</v>
      </c>
      <c r="C868" t="s">
        <v>198</v>
      </c>
      <c r="D868" t="s">
        <v>3</v>
      </c>
      <c r="E868" t="s">
        <v>49</v>
      </c>
      <c r="F868" s="2">
        <v>43167</v>
      </c>
      <c r="G868" s="3">
        <v>4</v>
      </c>
      <c r="H868" s="3">
        <v>5</v>
      </c>
      <c r="I868" s="3">
        <v>4</v>
      </c>
      <c r="J868" s="3">
        <v>4</v>
      </c>
      <c r="K868" s="3">
        <v>5</v>
      </c>
      <c r="L868" s="3">
        <v>4</v>
      </c>
      <c r="M868" s="3">
        <v>4</v>
      </c>
    </row>
    <row r="869" spans="1:13">
      <c r="A869" t="s">
        <v>611</v>
      </c>
      <c r="B869" t="s">
        <v>442</v>
      </c>
      <c r="C869" t="s">
        <v>427</v>
      </c>
      <c r="D869" t="s">
        <v>3</v>
      </c>
      <c r="E869" t="s">
        <v>697</v>
      </c>
      <c r="F869" s="2">
        <v>43192</v>
      </c>
      <c r="G869" s="3">
        <v>5</v>
      </c>
      <c r="H869" s="3">
        <v>4</v>
      </c>
      <c r="I869" s="3">
        <v>4</v>
      </c>
      <c r="J869" s="3">
        <v>4</v>
      </c>
      <c r="K869" s="3">
        <v>5</v>
      </c>
      <c r="L869" s="3">
        <v>4</v>
      </c>
      <c r="M869" s="3">
        <v>3</v>
      </c>
    </row>
    <row r="870" spans="1:13">
      <c r="A870" t="s">
        <v>428</v>
      </c>
      <c r="B870" t="s">
        <v>2</v>
      </c>
      <c r="C870" t="s">
        <v>198</v>
      </c>
      <c r="D870" t="s">
        <v>3</v>
      </c>
      <c r="E870" t="s">
        <v>262</v>
      </c>
      <c r="F870" s="2">
        <v>43166</v>
      </c>
      <c r="G870" s="3">
        <v>4</v>
      </c>
      <c r="H870" s="3">
        <v>4</v>
      </c>
      <c r="I870" s="3">
        <v>4</v>
      </c>
      <c r="J870" s="3">
        <v>3</v>
      </c>
      <c r="K870" s="3">
        <v>4</v>
      </c>
      <c r="L870" s="3">
        <v>4</v>
      </c>
      <c r="M870" s="3">
        <v>5</v>
      </c>
    </row>
    <row r="871" spans="1:13">
      <c r="A871" t="s">
        <v>443</v>
      </c>
      <c r="B871" t="s">
        <v>2</v>
      </c>
      <c r="C871" t="s">
        <v>198</v>
      </c>
      <c r="D871" t="s">
        <v>3</v>
      </c>
      <c r="E871" t="s">
        <v>558</v>
      </c>
      <c r="F871" s="2">
        <v>42983</v>
      </c>
      <c r="G871" s="3">
        <v>2</v>
      </c>
      <c r="H871" s="3">
        <v>1</v>
      </c>
      <c r="I871" s="3">
        <v>1</v>
      </c>
      <c r="J871" s="3">
        <v>2</v>
      </c>
      <c r="K871" s="3">
        <v>2</v>
      </c>
      <c r="L871" s="3">
        <v>2</v>
      </c>
      <c r="M871" s="3">
        <v>2</v>
      </c>
    </row>
    <row r="872" spans="1:13">
      <c r="A872" t="s">
        <v>552</v>
      </c>
      <c r="B872" t="s">
        <v>2</v>
      </c>
      <c r="C872" t="s">
        <v>198</v>
      </c>
      <c r="D872" t="s">
        <v>3</v>
      </c>
      <c r="E872" t="s">
        <v>43</v>
      </c>
      <c r="F872" s="2">
        <v>43376</v>
      </c>
      <c r="G872" s="3">
        <v>1</v>
      </c>
      <c r="H872" s="3">
        <v>2</v>
      </c>
      <c r="I872" s="3">
        <v>1</v>
      </c>
      <c r="J872" s="3">
        <v>3</v>
      </c>
      <c r="K872" s="3">
        <v>1</v>
      </c>
      <c r="L872" s="3">
        <v>1</v>
      </c>
      <c r="M872" s="3">
        <v>1</v>
      </c>
    </row>
    <row r="873" spans="1:13">
      <c r="A873" t="s">
        <v>535</v>
      </c>
      <c r="B873" t="s">
        <v>444</v>
      </c>
      <c r="C873" t="s">
        <v>582</v>
      </c>
      <c r="D873" t="s">
        <v>3</v>
      </c>
      <c r="E873" t="s">
        <v>494</v>
      </c>
      <c r="F873" s="2">
        <v>43473</v>
      </c>
      <c r="G873" s="3">
        <v>2</v>
      </c>
      <c r="H873" s="3">
        <v>4</v>
      </c>
      <c r="I873" s="3">
        <v>1</v>
      </c>
      <c r="J873" s="3">
        <v>3</v>
      </c>
      <c r="K873" s="3">
        <v>1</v>
      </c>
      <c r="L873" s="3">
        <v>1</v>
      </c>
      <c r="M873" s="3">
        <v>2</v>
      </c>
    </row>
    <row r="874" spans="1:13">
      <c r="A874" t="s">
        <v>535</v>
      </c>
      <c r="B874" t="s">
        <v>445</v>
      </c>
      <c r="C874" t="s">
        <v>569</v>
      </c>
      <c r="D874" t="s">
        <v>3</v>
      </c>
      <c r="E874" t="s">
        <v>494</v>
      </c>
      <c r="F874" s="2">
        <v>43985</v>
      </c>
      <c r="G874" s="3">
        <v>3</v>
      </c>
      <c r="H874" s="3">
        <v>3</v>
      </c>
      <c r="I874" s="3">
        <v>1</v>
      </c>
      <c r="J874" s="3">
        <v>1</v>
      </c>
      <c r="K874" s="3">
        <v>1</v>
      </c>
      <c r="L874" s="3">
        <v>1</v>
      </c>
      <c r="M874" s="3">
        <v>1</v>
      </c>
    </row>
    <row r="875" spans="1:13">
      <c r="A875" t="s">
        <v>446</v>
      </c>
      <c r="B875" t="s">
        <v>447</v>
      </c>
      <c r="C875" t="s">
        <v>569</v>
      </c>
      <c r="D875" t="s">
        <v>3</v>
      </c>
      <c r="E875" t="s">
        <v>114</v>
      </c>
      <c r="F875" s="2">
        <v>43191</v>
      </c>
      <c r="G875" s="3">
        <v>4</v>
      </c>
      <c r="H875" s="3">
        <v>5</v>
      </c>
      <c r="I875" s="3">
        <v>4</v>
      </c>
      <c r="J875" s="3">
        <v>4</v>
      </c>
      <c r="K875" s="3">
        <v>5</v>
      </c>
      <c r="L875" s="3">
        <v>4</v>
      </c>
      <c r="M875" s="3">
        <v>2</v>
      </c>
    </row>
    <row r="876" spans="1:13">
      <c r="A876" t="s">
        <v>704</v>
      </c>
      <c r="B876" t="s">
        <v>193</v>
      </c>
      <c r="C876" t="s">
        <v>572</v>
      </c>
      <c r="D876" t="s">
        <v>3</v>
      </c>
      <c r="E876" t="s">
        <v>448</v>
      </c>
      <c r="F876" s="2">
        <v>43350</v>
      </c>
      <c r="G876" s="3">
        <v>2</v>
      </c>
      <c r="H876" s="3">
        <v>1</v>
      </c>
      <c r="I876" s="3">
        <v>2</v>
      </c>
      <c r="J876" s="3">
        <v>3</v>
      </c>
      <c r="K876" s="3">
        <v>2</v>
      </c>
      <c r="L876" s="3">
        <v>2</v>
      </c>
      <c r="M876" s="3">
        <v>1</v>
      </c>
    </row>
    <row r="877" spans="1:13">
      <c r="A877" t="s">
        <v>170</v>
      </c>
      <c r="B877" t="s">
        <v>2</v>
      </c>
      <c r="C877" t="s">
        <v>198</v>
      </c>
      <c r="D877" t="s">
        <v>3</v>
      </c>
      <c r="E877" t="s">
        <v>12</v>
      </c>
      <c r="F877" s="2">
        <v>43313</v>
      </c>
      <c r="G877" s="3">
        <v>4</v>
      </c>
      <c r="H877" s="3">
        <v>3</v>
      </c>
      <c r="I877" s="3">
        <v>3</v>
      </c>
      <c r="J877" s="3">
        <v>5</v>
      </c>
      <c r="K877" s="3">
        <v>3</v>
      </c>
      <c r="L877" s="3">
        <v>4</v>
      </c>
      <c r="M877" s="3">
        <v>4</v>
      </c>
    </row>
    <row r="878" spans="1:13">
      <c r="A878" t="s">
        <v>705</v>
      </c>
      <c r="B878" t="s">
        <v>449</v>
      </c>
      <c r="C878" t="s">
        <v>50</v>
      </c>
      <c r="D878" t="s">
        <v>3</v>
      </c>
      <c r="E878" t="s">
        <v>450</v>
      </c>
      <c r="F878" s="2">
        <v>43252</v>
      </c>
      <c r="G878" s="3">
        <v>5</v>
      </c>
      <c r="H878" s="3">
        <v>4</v>
      </c>
      <c r="I878" s="3">
        <v>4</v>
      </c>
      <c r="J878" s="3">
        <v>4</v>
      </c>
      <c r="K878" s="3">
        <v>2</v>
      </c>
      <c r="L878" s="3">
        <v>5</v>
      </c>
      <c r="M878" s="3">
        <v>2</v>
      </c>
    </row>
    <row r="879" spans="1:13">
      <c r="A879" t="s">
        <v>30</v>
      </c>
      <c r="B879" t="s">
        <v>2</v>
      </c>
      <c r="C879" t="s">
        <v>198</v>
      </c>
      <c r="D879" t="s">
        <v>3</v>
      </c>
      <c r="E879" t="s">
        <v>12</v>
      </c>
      <c r="F879" s="2">
        <v>43165</v>
      </c>
      <c r="G879" s="3">
        <v>3</v>
      </c>
      <c r="H879" s="3">
        <v>3</v>
      </c>
      <c r="I879" s="3">
        <v>3</v>
      </c>
      <c r="J879" s="3">
        <v>2</v>
      </c>
      <c r="K879" s="3">
        <v>4</v>
      </c>
      <c r="L879" s="3">
        <v>3</v>
      </c>
      <c r="M879" s="3">
        <v>3</v>
      </c>
    </row>
    <row r="880" spans="1:13">
      <c r="A880" t="s">
        <v>451</v>
      </c>
      <c r="B880" t="s">
        <v>2</v>
      </c>
      <c r="C880" t="s">
        <v>198</v>
      </c>
      <c r="D880" t="s">
        <v>55</v>
      </c>
      <c r="E880" t="s">
        <v>4</v>
      </c>
      <c r="F880" s="2">
        <v>43588</v>
      </c>
      <c r="G880" s="3">
        <v>5</v>
      </c>
      <c r="H880" s="3">
        <v>5</v>
      </c>
      <c r="I880" s="3">
        <v>5</v>
      </c>
      <c r="J880" s="3">
        <v>3</v>
      </c>
      <c r="K880" s="3">
        <v>5</v>
      </c>
      <c r="L880" s="3">
        <v>5</v>
      </c>
      <c r="M880" s="3">
        <v>3</v>
      </c>
    </row>
    <row r="881" spans="1:13">
      <c r="A881" t="s">
        <v>452</v>
      </c>
      <c r="B881" t="s">
        <v>2</v>
      </c>
      <c r="C881" t="s">
        <v>198</v>
      </c>
      <c r="D881" t="s">
        <v>3</v>
      </c>
      <c r="E881" t="s">
        <v>49</v>
      </c>
      <c r="F881" s="2">
        <v>43162</v>
      </c>
      <c r="G881" s="3">
        <v>5</v>
      </c>
      <c r="H881" s="3">
        <v>4</v>
      </c>
      <c r="I881" s="3">
        <v>5</v>
      </c>
      <c r="J881" s="3">
        <v>4</v>
      </c>
      <c r="K881" s="3">
        <v>5</v>
      </c>
      <c r="L881" s="3">
        <v>4</v>
      </c>
      <c r="M881" s="3">
        <v>4</v>
      </c>
    </row>
    <row r="882" spans="1:13">
      <c r="A882" t="s">
        <v>1</v>
      </c>
      <c r="B882" t="s">
        <v>2</v>
      </c>
      <c r="C882" t="s">
        <v>198</v>
      </c>
      <c r="D882" t="s">
        <v>3</v>
      </c>
      <c r="E882" t="s">
        <v>4</v>
      </c>
      <c r="F882" s="2">
        <v>43140</v>
      </c>
      <c r="G882" s="3">
        <v>4</v>
      </c>
      <c r="H882" s="3">
        <v>4</v>
      </c>
      <c r="I882" s="3">
        <v>4</v>
      </c>
      <c r="J882" s="3">
        <v>4</v>
      </c>
      <c r="K882" s="3">
        <v>4</v>
      </c>
      <c r="L882" s="3">
        <v>5</v>
      </c>
      <c r="M882" s="3">
        <v>4</v>
      </c>
    </row>
    <row r="883" spans="1:13">
      <c r="A883" t="s">
        <v>453</v>
      </c>
      <c r="B883" t="s">
        <v>50</v>
      </c>
      <c r="C883" t="s">
        <v>50</v>
      </c>
      <c r="D883" t="s">
        <v>3</v>
      </c>
      <c r="E883" t="s">
        <v>454</v>
      </c>
      <c r="F883" s="2">
        <v>43160</v>
      </c>
      <c r="G883" s="3">
        <v>5</v>
      </c>
      <c r="H883" s="3">
        <v>5</v>
      </c>
      <c r="I883" s="3">
        <v>5</v>
      </c>
      <c r="J883" s="3">
        <v>4</v>
      </c>
      <c r="K883" s="3">
        <v>4</v>
      </c>
      <c r="L883" s="3">
        <v>5</v>
      </c>
      <c r="M883" s="3">
        <v>3</v>
      </c>
    </row>
    <row r="884" spans="1:13">
      <c r="A884" t="s">
        <v>35</v>
      </c>
      <c r="B884" t="s">
        <v>2</v>
      </c>
      <c r="C884" t="s">
        <v>198</v>
      </c>
      <c r="D884" t="s">
        <v>3</v>
      </c>
      <c r="E884" t="s">
        <v>26</v>
      </c>
      <c r="F884" s="2">
        <v>43166</v>
      </c>
      <c r="G884" s="3">
        <v>5</v>
      </c>
      <c r="H884" s="3">
        <v>5</v>
      </c>
      <c r="I884" s="3">
        <v>5</v>
      </c>
      <c r="J884" s="3">
        <v>5</v>
      </c>
      <c r="K884" s="3">
        <v>5</v>
      </c>
      <c r="L884" s="3">
        <v>5</v>
      </c>
      <c r="M884" s="3">
        <v>5</v>
      </c>
    </row>
    <row r="885" spans="1:13">
      <c r="A885" t="s">
        <v>7</v>
      </c>
      <c r="B885" t="s">
        <v>2</v>
      </c>
      <c r="C885" t="s">
        <v>198</v>
      </c>
      <c r="D885" t="s">
        <v>3</v>
      </c>
      <c r="E885" t="s">
        <v>4</v>
      </c>
      <c r="F885" s="2">
        <v>43160</v>
      </c>
      <c r="G885" s="3">
        <v>4</v>
      </c>
      <c r="H885" s="3">
        <v>3</v>
      </c>
      <c r="I885" s="3">
        <v>4</v>
      </c>
      <c r="J885" s="3">
        <v>4</v>
      </c>
      <c r="K885" s="3">
        <v>5</v>
      </c>
      <c r="L885" s="3">
        <v>3</v>
      </c>
      <c r="M885" s="3">
        <v>4</v>
      </c>
    </row>
    <row r="886" spans="1:13">
      <c r="A886" t="s">
        <v>455</v>
      </c>
      <c r="B886" t="s">
        <v>2</v>
      </c>
      <c r="C886" t="s">
        <v>198</v>
      </c>
      <c r="D886" t="s">
        <v>3</v>
      </c>
      <c r="E886" t="s">
        <v>15</v>
      </c>
      <c r="F886" s="2">
        <v>43318</v>
      </c>
      <c r="G886" s="3">
        <v>5</v>
      </c>
      <c r="H886" s="3">
        <v>4</v>
      </c>
      <c r="I886" s="3">
        <v>4</v>
      </c>
      <c r="J886" s="3">
        <v>3</v>
      </c>
      <c r="K886" s="3">
        <v>5</v>
      </c>
      <c r="L886" s="3">
        <v>3</v>
      </c>
      <c r="M886" s="3">
        <v>4</v>
      </c>
    </row>
    <row r="887" spans="1:13">
      <c r="A887" t="s">
        <v>94</v>
      </c>
      <c r="B887" t="s">
        <v>32</v>
      </c>
      <c r="C887" t="s">
        <v>567</v>
      </c>
      <c r="D887" t="s">
        <v>3</v>
      </c>
      <c r="E887" t="s">
        <v>558</v>
      </c>
      <c r="F887" s="2">
        <v>43161</v>
      </c>
      <c r="G887" s="3">
        <v>5</v>
      </c>
      <c r="H887" s="3">
        <v>4</v>
      </c>
      <c r="I887" s="3">
        <v>5</v>
      </c>
      <c r="J887" s="3">
        <v>4</v>
      </c>
      <c r="K887" s="3">
        <v>5</v>
      </c>
      <c r="L887" s="3">
        <v>4</v>
      </c>
      <c r="M887" s="3">
        <v>4</v>
      </c>
    </row>
    <row r="888" spans="1:13">
      <c r="A888" t="s">
        <v>281</v>
      </c>
      <c r="B888" t="s">
        <v>2</v>
      </c>
      <c r="C888" t="s">
        <v>198</v>
      </c>
      <c r="D888" t="s">
        <v>3</v>
      </c>
      <c r="E888" t="s">
        <v>46</v>
      </c>
      <c r="F888" s="2">
        <v>43193</v>
      </c>
      <c r="G888" s="3">
        <v>3</v>
      </c>
      <c r="H888" s="3">
        <v>1</v>
      </c>
      <c r="I888" s="3">
        <v>3</v>
      </c>
      <c r="J888" s="3">
        <v>1</v>
      </c>
      <c r="K888" s="3">
        <v>1</v>
      </c>
      <c r="L888" s="3">
        <v>2</v>
      </c>
      <c r="M888" s="3">
        <v>2</v>
      </c>
    </row>
    <row r="889" spans="1:13">
      <c r="A889" t="s">
        <v>456</v>
      </c>
      <c r="B889" t="s">
        <v>590</v>
      </c>
      <c r="C889" t="s">
        <v>568</v>
      </c>
      <c r="D889" t="s">
        <v>3</v>
      </c>
      <c r="E889" t="s">
        <v>373</v>
      </c>
      <c r="F889" s="2">
        <v>43162</v>
      </c>
      <c r="G889" s="3">
        <v>5</v>
      </c>
      <c r="H889" s="3">
        <v>5</v>
      </c>
      <c r="I889" s="3">
        <v>5</v>
      </c>
      <c r="J889" s="3">
        <v>5</v>
      </c>
      <c r="K889" s="3">
        <v>5</v>
      </c>
      <c r="L889" s="3">
        <v>5</v>
      </c>
      <c r="M889" s="3">
        <v>5</v>
      </c>
    </row>
    <row r="890" spans="1:13">
      <c r="A890" t="s">
        <v>103</v>
      </c>
      <c r="B890" t="s">
        <v>2</v>
      </c>
      <c r="C890" t="s">
        <v>198</v>
      </c>
      <c r="D890" t="s">
        <v>3</v>
      </c>
      <c r="E890" t="s">
        <v>373</v>
      </c>
      <c r="F890" s="2">
        <v>43168</v>
      </c>
      <c r="G890" s="3">
        <v>4</v>
      </c>
      <c r="H890" s="3">
        <v>4</v>
      </c>
      <c r="I890" s="3">
        <v>3</v>
      </c>
      <c r="J890" s="3">
        <v>3</v>
      </c>
      <c r="K890" s="3">
        <v>5</v>
      </c>
      <c r="L890" s="3">
        <v>4</v>
      </c>
      <c r="M890" s="3">
        <v>3</v>
      </c>
    </row>
    <row r="891" spans="1:13">
      <c r="A891" t="s">
        <v>457</v>
      </c>
      <c r="B891" t="s">
        <v>2</v>
      </c>
      <c r="C891" t="s">
        <v>198</v>
      </c>
      <c r="D891" t="s">
        <v>3</v>
      </c>
      <c r="E891" t="s">
        <v>26</v>
      </c>
      <c r="F891" s="2">
        <v>43229</v>
      </c>
      <c r="G891" s="3">
        <v>5</v>
      </c>
      <c r="H891" s="3">
        <v>2</v>
      </c>
      <c r="I891" s="3">
        <v>1</v>
      </c>
      <c r="J891" s="3">
        <v>3</v>
      </c>
      <c r="K891" s="3">
        <v>5</v>
      </c>
      <c r="L891" s="3">
        <v>3</v>
      </c>
      <c r="M891" s="3">
        <v>3</v>
      </c>
    </row>
    <row r="892" spans="1:13">
      <c r="A892" t="s">
        <v>367</v>
      </c>
      <c r="B892" t="s">
        <v>117</v>
      </c>
      <c r="C892" t="s">
        <v>572</v>
      </c>
      <c r="D892" t="s">
        <v>3</v>
      </c>
      <c r="E892" t="s">
        <v>458</v>
      </c>
      <c r="F892" s="2">
        <v>43194</v>
      </c>
      <c r="G892" s="3">
        <v>5</v>
      </c>
      <c r="H892" s="3">
        <v>5</v>
      </c>
      <c r="I892" s="3">
        <v>5</v>
      </c>
      <c r="J892" s="3">
        <v>5</v>
      </c>
      <c r="K892" s="3">
        <v>5</v>
      </c>
      <c r="L892" s="3">
        <v>5</v>
      </c>
      <c r="M892" s="3">
        <v>5</v>
      </c>
    </row>
    <row r="893" spans="1:13">
      <c r="A893" t="s">
        <v>459</v>
      </c>
      <c r="B893" t="s">
        <v>214</v>
      </c>
      <c r="C893" t="s">
        <v>566</v>
      </c>
      <c r="D893" t="s">
        <v>3</v>
      </c>
      <c r="E893" t="s">
        <v>122</v>
      </c>
      <c r="F893" s="2">
        <v>43163</v>
      </c>
      <c r="G893" s="3">
        <v>5</v>
      </c>
      <c r="H893" s="3">
        <v>4</v>
      </c>
      <c r="I893" s="3">
        <v>5</v>
      </c>
      <c r="J893" s="3">
        <v>5</v>
      </c>
      <c r="K893" s="3">
        <v>4</v>
      </c>
      <c r="L893" s="3">
        <v>4</v>
      </c>
      <c r="M893" s="3">
        <v>4</v>
      </c>
    </row>
    <row r="894" spans="1:13">
      <c r="A894" t="s">
        <v>105</v>
      </c>
      <c r="B894" t="s">
        <v>589</v>
      </c>
      <c r="C894" t="s">
        <v>50</v>
      </c>
      <c r="D894" t="s">
        <v>3</v>
      </c>
      <c r="E894" t="s">
        <v>146</v>
      </c>
      <c r="F894" s="2">
        <v>43344</v>
      </c>
      <c r="G894" s="3">
        <v>5</v>
      </c>
      <c r="H894" s="3">
        <v>5</v>
      </c>
      <c r="I894" s="3">
        <v>5</v>
      </c>
      <c r="J894" s="3">
        <v>5</v>
      </c>
      <c r="K894" s="3">
        <v>5</v>
      </c>
      <c r="L894" s="3">
        <v>5</v>
      </c>
      <c r="M894" s="3">
        <v>5</v>
      </c>
    </row>
    <row r="895" spans="1:13">
      <c r="A895" t="s">
        <v>126</v>
      </c>
      <c r="B895" t="s">
        <v>564</v>
      </c>
      <c r="C895" t="s">
        <v>50</v>
      </c>
      <c r="D895" t="s">
        <v>3</v>
      </c>
      <c r="E895" t="s">
        <v>46</v>
      </c>
      <c r="F895" s="2">
        <v>43287</v>
      </c>
      <c r="G895" s="3">
        <v>5</v>
      </c>
      <c r="H895" s="3">
        <v>4</v>
      </c>
      <c r="I895" s="3">
        <v>4</v>
      </c>
      <c r="J895" s="3">
        <v>5</v>
      </c>
      <c r="K895" s="3">
        <v>5</v>
      </c>
      <c r="L895" s="3">
        <v>4</v>
      </c>
      <c r="M895" s="3">
        <v>5</v>
      </c>
    </row>
    <row r="896" spans="1:13">
      <c r="A896" t="s">
        <v>107</v>
      </c>
      <c r="B896" t="s">
        <v>2</v>
      </c>
      <c r="C896" t="s">
        <v>198</v>
      </c>
      <c r="D896" t="s">
        <v>3</v>
      </c>
      <c r="E896" t="s">
        <v>23</v>
      </c>
      <c r="F896" s="2">
        <v>43224</v>
      </c>
      <c r="G896" s="3">
        <v>3</v>
      </c>
      <c r="H896" s="3">
        <v>4</v>
      </c>
      <c r="I896" s="3">
        <v>4</v>
      </c>
      <c r="J896" s="3">
        <v>5</v>
      </c>
      <c r="K896" s="3">
        <v>5</v>
      </c>
      <c r="L896" s="3">
        <v>4</v>
      </c>
      <c r="M896" s="3">
        <v>5</v>
      </c>
    </row>
    <row r="897" spans="1:13">
      <c r="A897" t="s">
        <v>460</v>
      </c>
      <c r="B897" t="s">
        <v>461</v>
      </c>
      <c r="C897" t="s">
        <v>566</v>
      </c>
      <c r="D897" t="s">
        <v>3</v>
      </c>
      <c r="E897" t="s">
        <v>14</v>
      </c>
      <c r="F897" s="2">
        <v>43048</v>
      </c>
      <c r="G897" s="3">
        <v>4</v>
      </c>
      <c r="H897" s="3">
        <v>2</v>
      </c>
      <c r="I897" s="3">
        <v>3</v>
      </c>
      <c r="J897" s="3">
        <v>3</v>
      </c>
      <c r="K897" s="3">
        <v>4</v>
      </c>
      <c r="L897" s="3">
        <v>3</v>
      </c>
      <c r="M897" s="3">
        <v>3</v>
      </c>
    </row>
    <row r="898" spans="1:13">
      <c r="A898" t="s">
        <v>462</v>
      </c>
      <c r="B898" t="s">
        <v>2</v>
      </c>
      <c r="C898" t="s">
        <v>198</v>
      </c>
      <c r="D898" t="s">
        <v>3</v>
      </c>
      <c r="E898" t="s">
        <v>558</v>
      </c>
      <c r="F898" s="2">
        <v>43196</v>
      </c>
      <c r="G898" s="3">
        <v>4</v>
      </c>
      <c r="H898" s="3">
        <v>4</v>
      </c>
      <c r="I898" s="3">
        <v>5</v>
      </c>
      <c r="J898" s="3">
        <v>3</v>
      </c>
      <c r="K898" s="3">
        <v>4</v>
      </c>
      <c r="L898" s="3">
        <v>4</v>
      </c>
      <c r="M898" s="3">
        <v>4</v>
      </c>
    </row>
    <row r="899" spans="1:13">
      <c r="A899" t="s">
        <v>98</v>
      </c>
      <c r="B899" t="s">
        <v>463</v>
      </c>
      <c r="C899" t="s">
        <v>574</v>
      </c>
      <c r="D899" t="s">
        <v>3</v>
      </c>
      <c r="E899" t="s">
        <v>23</v>
      </c>
      <c r="F899" s="2">
        <v>43221</v>
      </c>
      <c r="G899" s="3">
        <v>5</v>
      </c>
      <c r="H899" s="3">
        <v>3</v>
      </c>
      <c r="I899" s="3">
        <v>5</v>
      </c>
      <c r="J899" s="3">
        <v>5</v>
      </c>
      <c r="K899" s="3">
        <v>5</v>
      </c>
      <c r="L899" s="3">
        <v>5</v>
      </c>
      <c r="M899" s="3">
        <v>5</v>
      </c>
    </row>
    <row r="900" spans="1:13">
      <c r="A900" t="s">
        <v>133</v>
      </c>
      <c r="B900" t="s">
        <v>464</v>
      </c>
      <c r="C900" t="s">
        <v>580</v>
      </c>
      <c r="D900" t="s">
        <v>3</v>
      </c>
      <c r="E900" t="s">
        <v>494</v>
      </c>
      <c r="F900" s="2">
        <v>43528</v>
      </c>
      <c r="G900" s="3">
        <v>5</v>
      </c>
      <c r="H900" s="3">
        <v>5</v>
      </c>
      <c r="I900" s="3">
        <v>5</v>
      </c>
      <c r="J900" s="3">
        <v>5</v>
      </c>
      <c r="K900" s="3">
        <v>5</v>
      </c>
      <c r="L900" s="3">
        <v>5</v>
      </c>
      <c r="M900" s="3">
        <v>5</v>
      </c>
    </row>
    <row r="901" spans="1:13">
      <c r="A901" t="s">
        <v>28</v>
      </c>
      <c r="B901" t="s">
        <v>50</v>
      </c>
      <c r="C901" t="s">
        <v>50</v>
      </c>
      <c r="D901" t="s">
        <v>3</v>
      </c>
      <c r="E901" t="s">
        <v>558</v>
      </c>
      <c r="F901" s="2">
        <v>43805</v>
      </c>
      <c r="G901" s="3">
        <v>4</v>
      </c>
      <c r="H901" s="3">
        <v>3</v>
      </c>
      <c r="I901" s="3">
        <v>5</v>
      </c>
      <c r="J901" s="3">
        <v>4</v>
      </c>
      <c r="K901" s="3">
        <v>4</v>
      </c>
      <c r="L901" s="3">
        <v>4</v>
      </c>
      <c r="M901" s="3">
        <v>4</v>
      </c>
    </row>
    <row r="902" spans="1:13">
      <c r="A902" t="s">
        <v>133</v>
      </c>
      <c r="B902" t="s">
        <v>117</v>
      </c>
      <c r="C902" t="s">
        <v>572</v>
      </c>
      <c r="D902" t="s">
        <v>3</v>
      </c>
      <c r="E902" t="s">
        <v>494</v>
      </c>
      <c r="F902" s="2">
        <v>43350</v>
      </c>
      <c r="G902" s="3">
        <v>5</v>
      </c>
      <c r="H902" s="3">
        <v>4</v>
      </c>
      <c r="I902" s="3">
        <v>5</v>
      </c>
      <c r="J902" s="3">
        <v>4</v>
      </c>
      <c r="K902" s="3">
        <v>5</v>
      </c>
      <c r="L902" s="3">
        <v>1</v>
      </c>
      <c r="M902" s="3">
        <v>5</v>
      </c>
    </row>
    <row r="903" spans="1:13">
      <c r="A903" t="s">
        <v>411</v>
      </c>
      <c r="B903" t="s">
        <v>39</v>
      </c>
      <c r="C903" t="s">
        <v>358</v>
      </c>
      <c r="D903" t="s">
        <v>3</v>
      </c>
      <c r="E903" t="s">
        <v>46</v>
      </c>
      <c r="F903" s="2">
        <v>43132</v>
      </c>
      <c r="G903" s="3">
        <v>5</v>
      </c>
      <c r="H903" s="3">
        <v>4</v>
      </c>
      <c r="I903" s="3">
        <v>5</v>
      </c>
      <c r="J903" s="3">
        <v>4</v>
      </c>
      <c r="K903" s="3">
        <v>5</v>
      </c>
      <c r="L903" s="3">
        <v>1</v>
      </c>
      <c r="M903" s="3">
        <v>5</v>
      </c>
    </row>
    <row r="904" spans="1:13">
      <c r="A904" t="s">
        <v>30</v>
      </c>
      <c r="B904" t="s">
        <v>286</v>
      </c>
      <c r="C904" t="s">
        <v>198</v>
      </c>
      <c r="D904" t="s">
        <v>3</v>
      </c>
      <c r="E904" t="s">
        <v>12</v>
      </c>
      <c r="F904" s="2">
        <v>43041</v>
      </c>
      <c r="G904" s="3">
        <v>4</v>
      </c>
      <c r="H904" s="3">
        <v>3</v>
      </c>
      <c r="I904" s="3">
        <v>5</v>
      </c>
      <c r="J904" s="3">
        <v>3</v>
      </c>
      <c r="K904" s="3">
        <v>4</v>
      </c>
      <c r="L904" s="3">
        <v>2</v>
      </c>
      <c r="M904" s="3">
        <v>4</v>
      </c>
    </row>
    <row r="905" spans="1:13">
      <c r="A905" t="s">
        <v>322</v>
      </c>
      <c r="B905" t="s">
        <v>2</v>
      </c>
      <c r="C905" t="s">
        <v>198</v>
      </c>
      <c r="D905" t="s">
        <v>3</v>
      </c>
      <c r="E905" t="s">
        <v>60</v>
      </c>
      <c r="F905" s="2">
        <v>43653</v>
      </c>
      <c r="G905" s="3">
        <v>5</v>
      </c>
      <c r="H905" s="3">
        <v>3</v>
      </c>
      <c r="I905" s="3">
        <v>4</v>
      </c>
      <c r="J905" s="3">
        <v>3</v>
      </c>
      <c r="K905" s="3">
        <v>3</v>
      </c>
      <c r="L905" s="3">
        <v>2</v>
      </c>
      <c r="M905" s="3">
        <v>3</v>
      </c>
    </row>
    <row r="906" spans="1:13">
      <c r="A906" t="s">
        <v>465</v>
      </c>
      <c r="B906" t="s">
        <v>243</v>
      </c>
      <c r="C906" t="s">
        <v>574</v>
      </c>
      <c r="D906" t="s">
        <v>3</v>
      </c>
      <c r="E906" t="s">
        <v>706</v>
      </c>
      <c r="F906" s="2">
        <v>43289</v>
      </c>
      <c r="G906" s="3">
        <v>5</v>
      </c>
      <c r="H906" s="3">
        <v>5</v>
      </c>
      <c r="I906" s="3">
        <v>5</v>
      </c>
      <c r="J906" s="3">
        <v>5</v>
      </c>
      <c r="K906" s="3">
        <v>5</v>
      </c>
      <c r="L906" s="3">
        <v>5</v>
      </c>
      <c r="M906" s="3">
        <v>1</v>
      </c>
    </row>
    <row r="907" spans="1:13">
      <c r="A907" t="s">
        <v>31</v>
      </c>
      <c r="B907" t="s">
        <v>2</v>
      </c>
      <c r="C907" t="s">
        <v>198</v>
      </c>
      <c r="D907" t="s">
        <v>3</v>
      </c>
      <c r="E907" t="s">
        <v>23</v>
      </c>
      <c r="F907" s="2">
        <v>43224</v>
      </c>
      <c r="G907" s="3">
        <v>1</v>
      </c>
      <c r="H907" s="3">
        <v>5</v>
      </c>
      <c r="I907" s="3">
        <v>4</v>
      </c>
      <c r="J907" s="3">
        <v>3</v>
      </c>
      <c r="K907" s="3">
        <v>5</v>
      </c>
      <c r="L907" s="3">
        <v>4</v>
      </c>
      <c r="M907" s="3">
        <v>4</v>
      </c>
    </row>
    <row r="908" spans="1:13">
      <c r="A908" t="s">
        <v>212</v>
      </c>
      <c r="B908" t="s">
        <v>591</v>
      </c>
      <c r="C908" t="s">
        <v>198</v>
      </c>
      <c r="D908" t="s">
        <v>3</v>
      </c>
      <c r="E908" t="s">
        <v>12</v>
      </c>
      <c r="F908" s="2">
        <v>43225</v>
      </c>
      <c r="G908" s="3">
        <v>4</v>
      </c>
      <c r="H908" s="3">
        <v>3</v>
      </c>
      <c r="I908" s="3">
        <v>4</v>
      </c>
      <c r="J908" s="3">
        <v>4</v>
      </c>
      <c r="K908" s="3">
        <v>4</v>
      </c>
      <c r="L908" s="3">
        <v>4</v>
      </c>
      <c r="M908" s="3">
        <v>4</v>
      </c>
    </row>
    <row r="909" spans="1:13">
      <c r="A909" t="s">
        <v>107</v>
      </c>
      <c r="B909" t="s">
        <v>2</v>
      </c>
      <c r="C909" t="s">
        <v>198</v>
      </c>
      <c r="D909" t="s">
        <v>3</v>
      </c>
      <c r="E909" t="s">
        <v>4</v>
      </c>
      <c r="F909" s="2">
        <v>43191</v>
      </c>
      <c r="G909" s="3">
        <v>5</v>
      </c>
      <c r="H909" s="3">
        <v>3</v>
      </c>
      <c r="I909" s="3">
        <v>4</v>
      </c>
      <c r="J909" s="3">
        <v>4</v>
      </c>
      <c r="K909" s="3">
        <v>4</v>
      </c>
      <c r="L909" s="3">
        <v>4</v>
      </c>
      <c r="M909" s="3">
        <v>4</v>
      </c>
    </row>
    <row r="910" spans="1:13">
      <c r="A910" t="s">
        <v>77</v>
      </c>
      <c r="B910" t="s">
        <v>2</v>
      </c>
      <c r="C910" t="s">
        <v>198</v>
      </c>
      <c r="D910" t="s">
        <v>55</v>
      </c>
      <c r="E910" t="s">
        <v>165</v>
      </c>
      <c r="F910" s="2">
        <v>44169</v>
      </c>
      <c r="G910" s="3">
        <v>3</v>
      </c>
      <c r="H910" s="3">
        <v>5</v>
      </c>
      <c r="I910" s="3">
        <v>5</v>
      </c>
      <c r="J910" s="3">
        <v>5</v>
      </c>
      <c r="K910" s="3">
        <v>5</v>
      </c>
      <c r="L910" s="3">
        <v>5</v>
      </c>
      <c r="M910" s="3">
        <v>5</v>
      </c>
    </row>
    <row r="911" spans="1:13">
      <c r="A911" t="s">
        <v>466</v>
      </c>
      <c r="B911" t="s">
        <v>50</v>
      </c>
      <c r="C911" t="s">
        <v>50</v>
      </c>
      <c r="D911" t="s">
        <v>3</v>
      </c>
      <c r="E911" t="s">
        <v>558</v>
      </c>
      <c r="F911" s="2">
        <v>43135</v>
      </c>
      <c r="G911" s="3">
        <v>5</v>
      </c>
      <c r="H911" s="3">
        <v>2</v>
      </c>
      <c r="I911" s="3">
        <v>2</v>
      </c>
      <c r="J911" s="3">
        <v>2</v>
      </c>
      <c r="K911" s="3">
        <v>4</v>
      </c>
      <c r="L911" s="3">
        <v>3</v>
      </c>
      <c r="M911" s="3">
        <v>3</v>
      </c>
    </row>
    <row r="912" spans="1:13">
      <c r="A912" t="s">
        <v>553</v>
      </c>
      <c r="B912" t="s">
        <v>383</v>
      </c>
      <c r="C912" t="s">
        <v>582</v>
      </c>
      <c r="D912" t="s">
        <v>3</v>
      </c>
      <c r="E912" t="s">
        <v>43</v>
      </c>
      <c r="F912" s="2">
        <v>43221</v>
      </c>
      <c r="G912" s="3">
        <v>3</v>
      </c>
      <c r="H912" s="3">
        <v>4</v>
      </c>
      <c r="I912" s="3">
        <v>4</v>
      </c>
      <c r="J912" s="3">
        <v>5</v>
      </c>
      <c r="K912" s="3">
        <v>4</v>
      </c>
      <c r="L912" s="3">
        <v>5</v>
      </c>
      <c r="M912" s="3">
        <v>5</v>
      </c>
    </row>
    <row r="913" spans="1:13">
      <c r="A913" t="s">
        <v>73</v>
      </c>
      <c r="B913" t="s">
        <v>2</v>
      </c>
      <c r="C913" t="s">
        <v>198</v>
      </c>
      <c r="D913" t="s">
        <v>3</v>
      </c>
      <c r="E913" t="s">
        <v>434</v>
      </c>
      <c r="F913" s="2">
        <v>43252</v>
      </c>
      <c r="G913" s="3">
        <v>1</v>
      </c>
      <c r="H913" s="3">
        <v>1</v>
      </c>
      <c r="I913" s="3">
        <v>1</v>
      </c>
      <c r="J913" s="3">
        <v>2</v>
      </c>
      <c r="K913" s="3">
        <v>1</v>
      </c>
      <c r="L913" s="3">
        <v>3</v>
      </c>
      <c r="M913" s="3">
        <v>1</v>
      </c>
    </row>
    <row r="914" spans="1:13">
      <c r="A914" t="s">
        <v>467</v>
      </c>
      <c r="B914" t="s">
        <v>468</v>
      </c>
      <c r="C914" t="s">
        <v>582</v>
      </c>
      <c r="D914" t="s">
        <v>3</v>
      </c>
      <c r="E914" t="s">
        <v>558</v>
      </c>
      <c r="F914" s="2">
        <v>43225</v>
      </c>
      <c r="G914" s="3">
        <v>4</v>
      </c>
      <c r="H914" s="3">
        <v>3</v>
      </c>
      <c r="I914" s="3">
        <v>3</v>
      </c>
      <c r="J914" s="3">
        <v>3</v>
      </c>
      <c r="K914" s="3">
        <v>3</v>
      </c>
      <c r="L914" s="3">
        <v>3</v>
      </c>
      <c r="M914" s="3">
        <v>3</v>
      </c>
    </row>
    <row r="915" spans="1:13">
      <c r="A915" t="s">
        <v>707</v>
      </c>
      <c r="B915" t="s">
        <v>2</v>
      </c>
      <c r="C915" t="s">
        <v>198</v>
      </c>
      <c r="D915" t="s">
        <v>3</v>
      </c>
      <c r="E915" t="s">
        <v>52</v>
      </c>
      <c r="F915" s="2">
        <v>43221</v>
      </c>
      <c r="G915" s="3">
        <v>4</v>
      </c>
      <c r="H915" s="3">
        <v>4</v>
      </c>
      <c r="I915" s="3">
        <v>3</v>
      </c>
      <c r="J915" s="3">
        <v>4</v>
      </c>
      <c r="K915" s="3">
        <v>4</v>
      </c>
      <c r="L915" s="3">
        <v>4</v>
      </c>
      <c r="M915" s="3">
        <v>4</v>
      </c>
    </row>
    <row r="916" spans="1:13">
      <c r="A916" t="s">
        <v>298</v>
      </c>
      <c r="B916" t="s">
        <v>243</v>
      </c>
      <c r="C916" t="s">
        <v>574</v>
      </c>
      <c r="D916" t="s">
        <v>3</v>
      </c>
      <c r="E916" t="s">
        <v>708</v>
      </c>
      <c r="F916" s="2">
        <v>43224</v>
      </c>
      <c r="G916" s="3">
        <v>3</v>
      </c>
      <c r="H916" s="3">
        <v>4</v>
      </c>
      <c r="I916" s="3">
        <v>3</v>
      </c>
      <c r="J916" s="3">
        <v>4</v>
      </c>
      <c r="K916" s="3">
        <v>4</v>
      </c>
      <c r="L916" s="3">
        <v>4</v>
      </c>
      <c r="M916" s="3">
        <v>4</v>
      </c>
    </row>
    <row r="917" spans="1:13">
      <c r="A917" t="s">
        <v>495</v>
      </c>
      <c r="B917" t="s">
        <v>469</v>
      </c>
      <c r="C917" t="s">
        <v>574</v>
      </c>
      <c r="D917" t="s">
        <v>3</v>
      </c>
      <c r="E917" t="s">
        <v>618</v>
      </c>
      <c r="F917" s="2">
        <v>43139</v>
      </c>
      <c r="G917" s="3">
        <v>5</v>
      </c>
      <c r="H917" s="3">
        <v>3</v>
      </c>
      <c r="I917" s="3">
        <v>4</v>
      </c>
      <c r="J917" s="3">
        <v>3</v>
      </c>
      <c r="K917" s="3">
        <v>4</v>
      </c>
      <c r="L917" s="3">
        <v>4</v>
      </c>
      <c r="M917" s="3">
        <v>3</v>
      </c>
    </row>
    <row r="918" spans="1:13">
      <c r="A918" t="s">
        <v>470</v>
      </c>
      <c r="B918" t="s">
        <v>471</v>
      </c>
      <c r="C918" t="s">
        <v>569</v>
      </c>
      <c r="D918" t="s">
        <v>3</v>
      </c>
      <c r="E918" t="s">
        <v>34</v>
      </c>
      <c r="F918" s="2">
        <v>43501</v>
      </c>
      <c r="G918" s="3">
        <v>5</v>
      </c>
      <c r="H918" s="3">
        <v>4</v>
      </c>
      <c r="I918" s="3">
        <v>5</v>
      </c>
      <c r="J918" s="3">
        <v>3</v>
      </c>
      <c r="K918" s="3">
        <v>4</v>
      </c>
      <c r="L918" s="3">
        <v>4</v>
      </c>
      <c r="M918" s="3">
        <v>5</v>
      </c>
    </row>
    <row r="919" spans="1:13">
      <c r="A919" t="s">
        <v>1</v>
      </c>
      <c r="B919" t="s">
        <v>558</v>
      </c>
      <c r="C919" t="s">
        <v>558</v>
      </c>
      <c r="D919" t="s">
        <v>3</v>
      </c>
      <c r="E919" t="s">
        <v>4</v>
      </c>
      <c r="F919" s="2">
        <v>43317</v>
      </c>
      <c r="G919" s="3">
        <v>4</v>
      </c>
      <c r="H919" s="3">
        <v>3</v>
      </c>
      <c r="I919" s="3">
        <v>2</v>
      </c>
      <c r="J919" s="3">
        <v>4</v>
      </c>
      <c r="K919" s="3">
        <v>5</v>
      </c>
      <c r="L919" s="3">
        <v>4</v>
      </c>
      <c r="M919" s="3">
        <v>3</v>
      </c>
    </row>
    <row r="920" spans="1:13">
      <c r="A920" t="s">
        <v>30</v>
      </c>
      <c r="B920" t="s">
        <v>2</v>
      </c>
      <c r="C920" t="s">
        <v>198</v>
      </c>
      <c r="D920" t="s">
        <v>3</v>
      </c>
      <c r="E920" t="s">
        <v>23</v>
      </c>
      <c r="F920" s="2">
        <v>43227</v>
      </c>
      <c r="G920" s="3">
        <v>4</v>
      </c>
      <c r="H920" s="3">
        <v>4</v>
      </c>
      <c r="I920" s="3">
        <v>3</v>
      </c>
      <c r="J920" s="3">
        <v>4</v>
      </c>
      <c r="K920" s="3">
        <v>4</v>
      </c>
      <c r="L920" s="3">
        <v>3</v>
      </c>
      <c r="M920" s="3">
        <v>3</v>
      </c>
    </row>
    <row r="921" spans="1:13">
      <c r="A921" t="s">
        <v>339</v>
      </c>
      <c r="B921" t="s">
        <v>472</v>
      </c>
      <c r="C921" t="s">
        <v>587</v>
      </c>
      <c r="D921" t="s">
        <v>3</v>
      </c>
      <c r="E921" t="s">
        <v>627</v>
      </c>
      <c r="F921" s="2">
        <v>43654</v>
      </c>
      <c r="G921" s="3">
        <v>5</v>
      </c>
      <c r="H921" s="3">
        <v>4</v>
      </c>
      <c r="I921" s="3">
        <v>4</v>
      </c>
      <c r="J921" s="3">
        <v>4</v>
      </c>
      <c r="K921" s="3">
        <v>4</v>
      </c>
      <c r="L921" s="3">
        <v>4</v>
      </c>
      <c r="M921" s="3">
        <v>4</v>
      </c>
    </row>
    <row r="922" spans="1:13">
      <c r="A922" t="s">
        <v>473</v>
      </c>
      <c r="B922" t="s">
        <v>8</v>
      </c>
      <c r="C922" t="s">
        <v>570</v>
      </c>
      <c r="D922" t="s">
        <v>3</v>
      </c>
      <c r="E922" t="s">
        <v>359</v>
      </c>
      <c r="F922" s="2">
        <v>43164</v>
      </c>
      <c r="G922" s="3">
        <v>4</v>
      </c>
      <c r="H922" s="3">
        <v>4</v>
      </c>
      <c r="I922" s="3">
        <v>4</v>
      </c>
      <c r="J922" s="3">
        <v>4</v>
      </c>
      <c r="K922" s="3">
        <v>4</v>
      </c>
      <c r="L922" s="3">
        <v>4</v>
      </c>
      <c r="M922" s="3">
        <v>4</v>
      </c>
    </row>
    <row r="923" spans="1:13">
      <c r="A923" t="s">
        <v>30</v>
      </c>
      <c r="B923" t="s">
        <v>558</v>
      </c>
      <c r="C923" t="s">
        <v>558</v>
      </c>
      <c r="D923" t="s">
        <v>3</v>
      </c>
      <c r="E923" t="s">
        <v>23</v>
      </c>
      <c r="F923" s="2">
        <v>43316</v>
      </c>
      <c r="G923" s="3">
        <v>4</v>
      </c>
      <c r="H923" s="3">
        <v>5</v>
      </c>
      <c r="I923" s="3">
        <v>3</v>
      </c>
      <c r="J923" s="3">
        <v>3</v>
      </c>
      <c r="K923" s="3">
        <v>5</v>
      </c>
      <c r="L923" s="3">
        <v>4</v>
      </c>
      <c r="M923" s="3">
        <v>3</v>
      </c>
    </row>
    <row r="924" spans="1:13">
      <c r="A924" t="s">
        <v>1</v>
      </c>
      <c r="B924" t="s">
        <v>558</v>
      </c>
      <c r="C924" t="s">
        <v>558</v>
      </c>
      <c r="D924" t="s">
        <v>3</v>
      </c>
      <c r="E924" t="s">
        <v>558</v>
      </c>
      <c r="F924" s="2">
        <v>42955</v>
      </c>
      <c r="G924" s="3">
        <v>5</v>
      </c>
      <c r="H924" s="3">
        <v>4</v>
      </c>
      <c r="I924" s="3">
        <v>4</v>
      </c>
      <c r="J924" s="3">
        <v>4</v>
      </c>
      <c r="K924" s="3">
        <v>4</v>
      </c>
      <c r="L924" s="3">
        <v>4</v>
      </c>
      <c r="M924" s="3">
        <v>4</v>
      </c>
    </row>
    <row r="925" spans="1:13">
      <c r="A925" t="s">
        <v>30</v>
      </c>
      <c r="B925" t="s">
        <v>2</v>
      </c>
      <c r="C925" t="s">
        <v>198</v>
      </c>
      <c r="D925" t="s">
        <v>3</v>
      </c>
      <c r="E925" t="s">
        <v>12</v>
      </c>
      <c r="F925" s="2">
        <v>43108</v>
      </c>
      <c r="G925" s="3">
        <v>4</v>
      </c>
      <c r="H925" s="3">
        <v>4</v>
      </c>
      <c r="I925" s="3">
        <v>4</v>
      </c>
      <c r="J925" s="3">
        <v>4</v>
      </c>
      <c r="K925" s="3">
        <v>4</v>
      </c>
      <c r="L925" s="3">
        <v>4</v>
      </c>
      <c r="M925" s="3">
        <v>4</v>
      </c>
    </row>
    <row r="926" spans="1:13">
      <c r="A926" t="s">
        <v>1</v>
      </c>
      <c r="B926" t="s">
        <v>2</v>
      </c>
      <c r="C926" t="s">
        <v>198</v>
      </c>
      <c r="D926" t="s">
        <v>3</v>
      </c>
      <c r="E926" t="s">
        <v>26</v>
      </c>
      <c r="F926" s="2">
        <v>43891</v>
      </c>
      <c r="G926" s="3">
        <v>2</v>
      </c>
      <c r="H926" s="3">
        <v>4</v>
      </c>
      <c r="I926" s="3">
        <v>4</v>
      </c>
      <c r="J926" s="3">
        <v>5</v>
      </c>
      <c r="K926" s="3">
        <v>5</v>
      </c>
      <c r="L926" s="3">
        <v>5</v>
      </c>
      <c r="M926" s="3">
        <v>5</v>
      </c>
    </row>
    <row r="927" spans="1:13">
      <c r="A927" t="s">
        <v>474</v>
      </c>
      <c r="B927" t="s">
        <v>2</v>
      </c>
      <c r="C927" t="s">
        <v>198</v>
      </c>
      <c r="D927" t="s">
        <v>55</v>
      </c>
      <c r="E927" t="s">
        <v>12</v>
      </c>
      <c r="F927" s="2">
        <v>43108</v>
      </c>
      <c r="G927" s="3">
        <v>3</v>
      </c>
      <c r="H927" s="3">
        <v>3</v>
      </c>
      <c r="I927" s="3">
        <v>3</v>
      </c>
      <c r="J927" s="3">
        <v>3</v>
      </c>
      <c r="K927" s="3">
        <v>4</v>
      </c>
      <c r="L927" s="3">
        <v>4</v>
      </c>
      <c r="M927" s="3">
        <v>3</v>
      </c>
    </row>
    <row r="928" spans="1:13">
      <c r="A928" t="s">
        <v>558</v>
      </c>
      <c r="B928" t="s">
        <v>558</v>
      </c>
      <c r="C928" t="s">
        <v>558</v>
      </c>
      <c r="D928" t="s">
        <v>558</v>
      </c>
      <c r="E928" t="s">
        <v>558</v>
      </c>
      <c r="F928" s="2">
        <v>43223</v>
      </c>
      <c r="G928" s="3">
        <v>5</v>
      </c>
      <c r="H928" s="3">
        <v>5</v>
      </c>
      <c r="I928" s="3">
        <v>5</v>
      </c>
      <c r="J928" s="3">
        <v>5</v>
      </c>
      <c r="K928" s="3">
        <v>5</v>
      </c>
      <c r="L928" s="3">
        <v>5</v>
      </c>
      <c r="M928" s="3">
        <v>5</v>
      </c>
    </row>
    <row r="929" spans="1:13">
      <c r="A929" t="s">
        <v>475</v>
      </c>
      <c r="B929" t="s">
        <v>558</v>
      </c>
      <c r="C929" t="s">
        <v>558</v>
      </c>
      <c r="D929" t="s">
        <v>3</v>
      </c>
      <c r="E929" t="s">
        <v>23</v>
      </c>
      <c r="F929" s="2">
        <v>43290</v>
      </c>
      <c r="G929" s="3">
        <v>5</v>
      </c>
      <c r="H929" s="3">
        <v>5</v>
      </c>
      <c r="I929" s="3">
        <v>5</v>
      </c>
      <c r="J929" s="3">
        <v>5</v>
      </c>
      <c r="K929" s="3">
        <v>5</v>
      </c>
      <c r="L929" s="3">
        <v>5</v>
      </c>
      <c r="M929" s="3">
        <v>5</v>
      </c>
    </row>
    <row r="930" spans="1:13">
      <c r="A930" t="s">
        <v>64</v>
      </c>
      <c r="B930" t="s">
        <v>2</v>
      </c>
      <c r="C930" t="s">
        <v>198</v>
      </c>
      <c r="D930" t="s">
        <v>3</v>
      </c>
      <c r="E930" t="s">
        <v>52</v>
      </c>
      <c r="F930" s="2">
        <v>44325</v>
      </c>
      <c r="G930" s="3">
        <v>5</v>
      </c>
      <c r="H930" s="3">
        <v>4</v>
      </c>
      <c r="I930" s="3">
        <v>5</v>
      </c>
      <c r="J930" s="3">
        <v>4</v>
      </c>
      <c r="K930" s="3">
        <v>4</v>
      </c>
      <c r="L930" s="3">
        <v>4</v>
      </c>
      <c r="M930" s="3">
        <v>4</v>
      </c>
    </row>
    <row r="931" spans="1:13">
      <c r="A931" t="s">
        <v>31</v>
      </c>
      <c r="B931" t="s">
        <v>2</v>
      </c>
      <c r="C931" t="s">
        <v>198</v>
      </c>
      <c r="D931" t="s">
        <v>3</v>
      </c>
      <c r="E931" t="s">
        <v>26</v>
      </c>
      <c r="F931" s="2">
        <v>43556</v>
      </c>
      <c r="G931" s="3">
        <v>4</v>
      </c>
      <c r="H931" s="3">
        <v>4</v>
      </c>
      <c r="I931" s="3">
        <v>5</v>
      </c>
      <c r="J931" s="3">
        <v>4</v>
      </c>
      <c r="K931" s="3">
        <v>4</v>
      </c>
      <c r="L931" s="3">
        <v>4</v>
      </c>
      <c r="M931" s="3">
        <v>4</v>
      </c>
    </row>
    <row r="932" spans="1:13">
      <c r="A932" t="s">
        <v>98</v>
      </c>
      <c r="B932" t="s">
        <v>558</v>
      </c>
      <c r="C932" t="s">
        <v>558</v>
      </c>
      <c r="D932" t="s">
        <v>3</v>
      </c>
      <c r="E932" t="s">
        <v>558</v>
      </c>
      <c r="F932" s="2">
        <v>43739</v>
      </c>
      <c r="G932" s="3">
        <v>2</v>
      </c>
      <c r="H932" s="3">
        <v>5</v>
      </c>
      <c r="I932" s="3">
        <v>5</v>
      </c>
      <c r="J932" s="3">
        <v>5</v>
      </c>
      <c r="K932" s="3">
        <v>5</v>
      </c>
      <c r="L932" s="3">
        <v>5</v>
      </c>
      <c r="M932" s="3">
        <v>5</v>
      </c>
    </row>
    <row r="933" spans="1:13">
      <c r="A933" t="s">
        <v>126</v>
      </c>
      <c r="B933" t="s">
        <v>214</v>
      </c>
      <c r="C933" t="s">
        <v>566</v>
      </c>
      <c r="D933" t="s">
        <v>3</v>
      </c>
      <c r="E933" t="s">
        <v>476</v>
      </c>
      <c r="F933" s="2">
        <v>43282</v>
      </c>
      <c r="G933" s="3">
        <v>5</v>
      </c>
      <c r="H933" s="3">
        <v>5</v>
      </c>
      <c r="I933" s="3">
        <v>5</v>
      </c>
      <c r="J933" s="3">
        <v>4</v>
      </c>
      <c r="K933" s="3">
        <v>5</v>
      </c>
      <c r="L933" s="3">
        <v>5</v>
      </c>
      <c r="M933" s="3">
        <v>5</v>
      </c>
    </row>
    <row r="934" spans="1:13">
      <c r="A934" t="s">
        <v>31</v>
      </c>
      <c r="B934" t="s">
        <v>558</v>
      </c>
      <c r="C934" t="s">
        <v>558</v>
      </c>
      <c r="D934" t="s">
        <v>3</v>
      </c>
      <c r="E934" t="s">
        <v>4</v>
      </c>
      <c r="F934" s="2">
        <v>43221</v>
      </c>
      <c r="G934" s="3">
        <v>4</v>
      </c>
      <c r="H934" s="3">
        <v>5</v>
      </c>
      <c r="I934" s="3">
        <v>5</v>
      </c>
      <c r="J934" s="3">
        <v>4</v>
      </c>
      <c r="K934" s="3">
        <v>5</v>
      </c>
      <c r="L934" s="3">
        <v>5</v>
      </c>
      <c r="M934" s="3">
        <v>5</v>
      </c>
    </row>
    <row r="935" spans="1:13">
      <c r="A935" t="s">
        <v>209</v>
      </c>
      <c r="B935" t="s">
        <v>78</v>
      </c>
      <c r="C935" t="s">
        <v>712</v>
      </c>
      <c r="D935" t="s">
        <v>3</v>
      </c>
      <c r="E935" t="s">
        <v>46</v>
      </c>
      <c r="F935" s="2">
        <v>43313</v>
      </c>
      <c r="G935" s="3">
        <v>1</v>
      </c>
      <c r="H935" s="3">
        <v>2</v>
      </c>
      <c r="I935" s="3">
        <v>2</v>
      </c>
      <c r="J935" s="3">
        <v>2</v>
      </c>
      <c r="K935" s="3">
        <v>3</v>
      </c>
      <c r="L935" s="3">
        <v>3</v>
      </c>
      <c r="M935" s="3">
        <v>1</v>
      </c>
    </row>
    <row r="936" spans="1:13">
      <c r="A936" t="s">
        <v>81</v>
      </c>
      <c r="B936" t="s">
        <v>214</v>
      </c>
      <c r="C936" t="s">
        <v>566</v>
      </c>
      <c r="D936" t="s">
        <v>3</v>
      </c>
      <c r="E936" t="s">
        <v>480</v>
      </c>
      <c r="F936" s="2">
        <v>42984</v>
      </c>
      <c r="G936" s="3">
        <v>4</v>
      </c>
      <c r="H936" s="3">
        <v>5</v>
      </c>
      <c r="I936" s="3">
        <v>5</v>
      </c>
      <c r="J936" s="3">
        <v>5</v>
      </c>
      <c r="K936" s="3">
        <v>5</v>
      </c>
      <c r="L936" s="3">
        <v>5</v>
      </c>
      <c r="M936" s="3">
        <v>5</v>
      </c>
    </row>
    <row r="937" spans="1:13">
      <c r="A937" t="s">
        <v>535</v>
      </c>
      <c r="B937" t="s">
        <v>32</v>
      </c>
      <c r="C937" t="s">
        <v>567</v>
      </c>
      <c r="D937" t="s">
        <v>3</v>
      </c>
      <c r="E937" t="s">
        <v>544</v>
      </c>
      <c r="F937" s="2">
        <v>42955</v>
      </c>
      <c r="G937" s="3">
        <v>3</v>
      </c>
      <c r="H937" s="3">
        <v>5</v>
      </c>
      <c r="I937" s="3">
        <v>5</v>
      </c>
      <c r="J937" s="3">
        <v>5</v>
      </c>
      <c r="K937" s="3">
        <v>5</v>
      </c>
      <c r="L937" s="3">
        <v>5</v>
      </c>
      <c r="M937" s="3">
        <v>5</v>
      </c>
    </row>
    <row r="938" spans="1:13">
      <c r="A938" t="s">
        <v>293</v>
      </c>
      <c r="B938" t="s">
        <v>388</v>
      </c>
      <c r="C938" t="s">
        <v>569</v>
      </c>
      <c r="D938" t="s">
        <v>3</v>
      </c>
      <c r="E938" t="s">
        <v>4</v>
      </c>
      <c r="F938" s="2">
        <v>43647</v>
      </c>
      <c r="G938" s="3">
        <v>1</v>
      </c>
      <c r="H938" s="3">
        <v>2</v>
      </c>
      <c r="I938" s="3">
        <v>1</v>
      </c>
      <c r="J938" s="3">
        <v>1</v>
      </c>
      <c r="K938" s="3">
        <v>1</v>
      </c>
      <c r="L938" s="3">
        <v>2</v>
      </c>
      <c r="M938" s="3">
        <v>2</v>
      </c>
    </row>
    <row r="939" spans="1:13">
      <c r="A939" t="s">
        <v>35</v>
      </c>
      <c r="B939" t="s">
        <v>117</v>
      </c>
      <c r="C939" t="s">
        <v>572</v>
      </c>
      <c r="D939" t="s">
        <v>3</v>
      </c>
      <c r="E939" t="s">
        <v>619</v>
      </c>
      <c r="F939" s="2">
        <v>43282</v>
      </c>
      <c r="G939" s="3">
        <v>4</v>
      </c>
      <c r="H939" s="3">
        <v>5</v>
      </c>
      <c r="I939" s="3">
        <v>5</v>
      </c>
      <c r="J939" s="3">
        <v>5</v>
      </c>
      <c r="K939" s="3">
        <v>5</v>
      </c>
      <c r="L939" s="3">
        <v>5</v>
      </c>
      <c r="M939" s="3">
        <v>5</v>
      </c>
    </row>
    <row r="940" spans="1:13">
      <c r="A940" t="s">
        <v>396</v>
      </c>
      <c r="B940" t="s">
        <v>2</v>
      </c>
      <c r="C940" t="s">
        <v>198</v>
      </c>
      <c r="D940" t="s">
        <v>3</v>
      </c>
      <c r="E940" t="s">
        <v>60</v>
      </c>
      <c r="F940" s="2">
        <v>42948</v>
      </c>
      <c r="G940" s="3">
        <v>4</v>
      </c>
      <c r="H940" s="3">
        <v>4</v>
      </c>
      <c r="I940" s="3">
        <v>4</v>
      </c>
      <c r="J940" s="3">
        <v>3</v>
      </c>
      <c r="K940" s="3">
        <v>4</v>
      </c>
      <c r="L940" s="3">
        <v>4</v>
      </c>
      <c r="M940" s="3">
        <v>5</v>
      </c>
    </row>
    <row r="941" spans="1:13">
      <c r="A941" t="s">
        <v>612</v>
      </c>
      <c r="B941" t="s">
        <v>72</v>
      </c>
      <c r="C941" t="s">
        <v>578</v>
      </c>
      <c r="D941" t="s">
        <v>3</v>
      </c>
      <c r="E941" t="s">
        <v>148</v>
      </c>
      <c r="F941" s="2">
        <v>43435</v>
      </c>
      <c r="G941" s="3">
        <v>3</v>
      </c>
      <c r="H941" s="3">
        <v>3</v>
      </c>
      <c r="I941" s="3">
        <v>2</v>
      </c>
      <c r="J941" s="3">
        <v>1</v>
      </c>
      <c r="K941" s="3">
        <v>1</v>
      </c>
      <c r="L941" s="3">
        <v>4</v>
      </c>
      <c r="M941" s="3">
        <v>1</v>
      </c>
    </row>
    <row r="942" spans="1:13">
      <c r="A942" t="s">
        <v>133</v>
      </c>
      <c r="B942" t="s">
        <v>333</v>
      </c>
      <c r="C942" t="s">
        <v>578</v>
      </c>
      <c r="D942" t="s">
        <v>3</v>
      </c>
      <c r="E942" t="s">
        <v>494</v>
      </c>
      <c r="F942" s="2">
        <v>44958</v>
      </c>
      <c r="G942" s="3">
        <v>5</v>
      </c>
      <c r="H942" s="3">
        <v>5</v>
      </c>
      <c r="I942" s="3">
        <v>5</v>
      </c>
      <c r="J942" s="3">
        <v>5</v>
      </c>
      <c r="K942" s="3">
        <v>5</v>
      </c>
      <c r="L942" s="3">
        <v>5</v>
      </c>
      <c r="M942" s="3">
        <v>5</v>
      </c>
    </row>
    <row r="943" spans="1:13">
      <c r="A943" t="s">
        <v>477</v>
      </c>
      <c r="B943" t="s">
        <v>397</v>
      </c>
      <c r="C943" t="s">
        <v>577</v>
      </c>
      <c r="D943" t="s">
        <v>3</v>
      </c>
      <c r="E943" t="s">
        <v>558</v>
      </c>
      <c r="F943" s="2">
        <v>43226</v>
      </c>
      <c r="G943" s="3">
        <v>2</v>
      </c>
      <c r="H943" s="3">
        <v>3</v>
      </c>
      <c r="I943" s="3">
        <v>3</v>
      </c>
      <c r="J943" s="3">
        <v>4</v>
      </c>
      <c r="K943" s="3">
        <v>1</v>
      </c>
      <c r="L943" s="3">
        <v>1</v>
      </c>
      <c r="M943" s="3">
        <v>1</v>
      </c>
    </row>
    <row r="944" spans="1:13">
      <c r="A944" t="s">
        <v>35</v>
      </c>
      <c r="B944" t="s">
        <v>2</v>
      </c>
      <c r="C944" t="s">
        <v>198</v>
      </c>
      <c r="D944" t="s">
        <v>3</v>
      </c>
      <c r="E944" t="s">
        <v>165</v>
      </c>
      <c r="F944" s="2">
        <v>43015</v>
      </c>
      <c r="G944" s="3">
        <v>4</v>
      </c>
      <c r="H944" s="3">
        <v>3</v>
      </c>
      <c r="I944" s="3">
        <v>4</v>
      </c>
      <c r="J944" s="3">
        <v>3</v>
      </c>
      <c r="K944" s="3">
        <v>5</v>
      </c>
      <c r="L944" s="3">
        <v>4</v>
      </c>
      <c r="M944" s="3">
        <v>4</v>
      </c>
    </row>
    <row r="945" spans="1:13">
      <c r="A945" t="s">
        <v>535</v>
      </c>
      <c r="B945" t="s">
        <v>8</v>
      </c>
      <c r="C945" t="s">
        <v>570</v>
      </c>
      <c r="D945" t="s">
        <v>3</v>
      </c>
      <c r="E945" t="s">
        <v>478</v>
      </c>
      <c r="F945" s="2">
        <v>43285</v>
      </c>
      <c r="G945" s="3">
        <v>5</v>
      </c>
      <c r="H945" s="3">
        <v>3</v>
      </c>
      <c r="I945" s="3">
        <v>4</v>
      </c>
      <c r="J945" s="3">
        <v>3</v>
      </c>
      <c r="K945" s="3">
        <v>5</v>
      </c>
      <c r="L945" s="3">
        <v>4</v>
      </c>
      <c r="M945" s="3">
        <v>4</v>
      </c>
    </row>
    <row r="946" spans="1:13">
      <c r="A946" t="s">
        <v>94</v>
      </c>
      <c r="B946" t="s">
        <v>192</v>
      </c>
      <c r="C946" t="s">
        <v>192</v>
      </c>
      <c r="D946" t="s">
        <v>3</v>
      </c>
      <c r="E946" t="s">
        <v>494</v>
      </c>
      <c r="F946" s="2">
        <v>43195</v>
      </c>
      <c r="G946" s="3">
        <v>5</v>
      </c>
      <c r="H946" s="3">
        <v>5</v>
      </c>
      <c r="I946" s="3">
        <v>5</v>
      </c>
      <c r="J946" s="3">
        <v>5</v>
      </c>
      <c r="K946" s="3">
        <v>5</v>
      </c>
      <c r="L946" s="3">
        <v>5</v>
      </c>
      <c r="M946" s="3">
        <v>5</v>
      </c>
    </row>
    <row r="947" spans="1:13">
      <c r="A947" t="s">
        <v>479</v>
      </c>
      <c r="B947" t="s">
        <v>2</v>
      </c>
      <c r="C947" t="s">
        <v>198</v>
      </c>
      <c r="D947" t="s">
        <v>3</v>
      </c>
      <c r="E947" t="s">
        <v>480</v>
      </c>
      <c r="F947" s="2">
        <v>43563</v>
      </c>
      <c r="G947" s="3">
        <v>5</v>
      </c>
      <c r="H947" s="3">
        <v>4</v>
      </c>
      <c r="I947" s="3">
        <v>5</v>
      </c>
      <c r="J947" s="3">
        <v>5</v>
      </c>
      <c r="K947" s="3">
        <v>5</v>
      </c>
      <c r="L947" s="3">
        <v>5</v>
      </c>
      <c r="M947" s="3">
        <v>5</v>
      </c>
    </row>
    <row r="948" spans="1:13">
      <c r="A948" t="s">
        <v>396</v>
      </c>
      <c r="B948" t="s">
        <v>558</v>
      </c>
      <c r="C948" t="s">
        <v>558</v>
      </c>
      <c r="D948" t="s">
        <v>3</v>
      </c>
      <c r="E948" t="s">
        <v>494</v>
      </c>
      <c r="F948" s="2">
        <v>43165</v>
      </c>
      <c r="G948" s="3">
        <v>5</v>
      </c>
      <c r="H948" s="3">
        <v>5</v>
      </c>
      <c r="I948" s="3">
        <v>5</v>
      </c>
      <c r="J948" s="3">
        <v>5</v>
      </c>
      <c r="K948" s="3">
        <v>5</v>
      </c>
      <c r="L948" s="3">
        <v>5</v>
      </c>
      <c r="M948" s="3">
        <v>5</v>
      </c>
    </row>
    <row r="949" spans="1:13">
      <c r="A949" t="s">
        <v>1</v>
      </c>
      <c r="B949" t="s">
        <v>2</v>
      </c>
      <c r="C949" t="s">
        <v>198</v>
      </c>
      <c r="D949" t="s">
        <v>3</v>
      </c>
      <c r="E949" t="s">
        <v>12</v>
      </c>
      <c r="F949" s="2">
        <v>43314</v>
      </c>
      <c r="G949" s="3">
        <v>5</v>
      </c>
      <c r="H949" s="3">
        <v>5</v>
      </c>
      <c r="I949" s="3">
        <v>5</v>
      </c>
      <c r="J949" s="3">
        <v>5</v>
      </c>
      <c r="K949" s="3">
        <v>5</v>
      </c>
      <c r="L949" s="3">
        <v>5</v>
      </c>
      <c r="M949" s="3">
        <v>4</v>
      </c>
    </row>
    <row r="950" spans="1:13">
      <c r="A950" t="s">
        <v>30</v>
      </c>
      <c r="B950" t="s">
        <v>2</v>
      </c>
      <c r="C950" t="s">
        <v>516</v>
      </c>
      <c r="D950" t="s">
        <v>3</v>
      </c>
      <c r="E950" t="s">
        <v>139</v>
      </c>
      <c r="F950" s="2">
        <v>44775</v>
      </c>
      <c r="G950" s="3">
        <v>4</v>
      </c>
      <c r="H950" s="3">
        <v>4</v>
      </c>
      <c r="I950" s="3">
        <v>4</v>
      </c>
      <c r="J950" s="3">
        <v>1</v>
      </c>
      <c r="K950" s="3">
        <v>5</v>
      </c>
      <c r="L950" s="3">
        <v>5</v>
      </c>
      <c r="M950" s="3">
        <v>4</v>
      </c>
    </row>
    <row r="951" spans="1:13">
      <c r="A951" t="s">
        <v>133</v>
      </c>
      <c r="B951" t="s">
        <v>558</v>
      </c>
      <c r="C951" t="s">
        <v>558</v>
      </c>
      <c r="D951" t="s">
        <v>3</v>
      </c>
      <c r="E951" t="s">
        <v>494</v>
      </c>
      <c r="F951" s="2">
        <v>43139</v>
      </c>
      <c r="G951" s="3">
        <v>5</v>
      </c>
      <c r="H951" s="3">
        <v>5</v>
      </c>
      <c r="I951" s="3">
        <v>5</v>
      </c>
      <c r="J951" s="3">
        <v>5</v>
      </c>
      <c r="K951" s="3">
        <v>5</v>
      </c>
      <c r="L951" s="3">
        <v>5</v>
      </c>
      <c r="M951" s="3">
        <v>5</v>
      </c>
    </row>
    <row r="952" spans="1:13">
      <c r="A952" t="s">
        <v>481</v>
      </c>
      <c r="B952" t="s">
        <v>558</v>
      </c>
      <c r="C952" t="s">
        <v>558</v>
      </c>
      <c r="D952" t="s">
        <v>3</v>
      </c>
      <c r="E952" t="s">
        <v>359</v>
      </c>
      <c r="F952" s="2">
        <v>43135</v>
      </c>
      <c r="G952" s="3">
        <v>5</v>
      </c>
      <c r="H952" s="3">
        <v>5</v>
      </c>
      <c r="I952" s="3">
        <v>5</v>
      </c>
      <c r="J952" s="3">
        <v>5</v>
      </c>
      <c r="K952" s="3">
        <v>5</v>
      </c>
      <c r="L952" s="3">
        <v>5</v>
      </c>
      <c r="M952" s="3">
        <v>5</v>
      </c>
    </row>
    <row r="953" spans="1:13">
      <c r="A953" t="s">
        <v>558</v>
      </c>
      <c r="B953" t="s">
        <v>558</v>
      </c>
      <c r="C953" t="s">
        <v>558</v>
      </c>
      <c r="D953" t="s">
        <v>558</v>
      </c>
      <c r="E953" t="s">
        <v>61</v>
      </c>
      <c r="F953" s="2">
        <v>43709</v>
      </c>
      <c r="G953" s="3">
        <v>4</v>
      </c>
      <c r="H953" s="3">
        <v>5</v>
      </c>
      <c r="I953" s="3">
        <v>5</v>
      </c>
      <c r="J953" s="3">
        <v>4</v>
      </c>
      <c r="K953" s="3">
        <v>3</v>
      </c>
      <c r="L953" s="3">
        <v>4</v>
      </c>
      <c r="M953" s="3">
        <v>4</v>
      </c>
    </row>
    <row r="954" spans="1:13">
      <c r="A954" t="s">
        <v>1</v>
      </c>
      <c r="B954" t="s">
        <v>558</v>
      </c>
      <c r="C954" t="s">
        <v>558</v>
      </c>
      <c r="D954" t="s">
        <v>3</v>
      </c>
      <c r="E954" t="s">
        <v>4</v>
      </c>
      <c r="F954" s="2">
        <v>42979</v>
      </c>
      <c r="G954" s="3">
        <v>4</v>
      </c>
      <c r="H954" s="3">
        <v>5</v>
      </c>
      <c r="I954" s="3">
        <v>5</v>
      </c>
      <c r="J954" s="3">
        <v>4</v>
      </c>
      <c r="K954" s="3">
        <v>3</v>
      </c>
      <c r="L954" s="3">
        <v>4</v>
      </c>
      <c r="M954" s="3">
        <v>4</v>
      </c>
    </row>
    <row r="955" spans="1:13">
      <c r="A955" t="s">
        <v>35</v>
      </c>
      <c r="B955" t="s">
        <v>192</v>
      </c>
      <c r="C955" t="s">
        <v>192</v>
      </c>
      <c r="D955" t="s">
        <v>3</v>
      </c>
      <c r="E955" t="s">
        <v>23</v>
      </c>
      <c r="F955" s="2">
        <v>42979</v>
      </c>
      <c r="G955" s="3">
        <v>2</v>
      </c>
      <c r="H955" s="3">
        <v>3</v>
      </c>
      <c r="I955" s="3">
        <v>4</v>
      </c>
      <c r="J955" s="3">
        <v>3</v>
      </c>
      <c r="K955" s="3">
        <v>2</v>
      </c>
      <c r="L955" s="3">
        <v>3</v>
      </c>
      <c r="M955" s="3">
        <v>2</v>
      </c>
    </row>
    <row r="956" spans="1:13">
      <c r="A956" t="s">
        <v>1</v>
      </c>
      <c r="B956" t="s">
        <v>2</v>
      </c>
      <c r="C956" t="s">
        <v>198</v>
      </c>
      <c r="D956" t="s">
        <v>3</v>
      </c>
      <c r="E956" t="s">
        <v>12</v>
      </c>
      <c r="F956" s="2">
        <v>43199</v>
      </c>
      <c r="G956" s="3">
        <v>4</v>
      </c>
      <c r="H956" s="3">
        <v>3</v>
      </c>
      <c r="I956" s="3">
        <v>4</v>
      </c>
      <c r="J956" s="3">
        <v>3</v>
      </c>
      <c r="K956" s="3">
        <v>2</v>
      </c>
      <c r="L956" s="3">
        <v>3</v>
      </c>
      <c r="M956" s="3">
        <v>2</v>
      </c>
    </row>
    <row r="957" spans="1:13">
      <c r="A957" t="s">
        <v>482</v>
      </c>
      <c r="B957" t="s">
        <v>483</v>
      </c>
      <c r="C957" t="s">
        <v>483</v>
      </c>
      <c r="D957" t="s">
        <v>3</v>
      </c>
      <c r="E957" t="s">
        <v>12</v>
      </c>
      <c r="F957" s="2">
        <v>43533</v>
      </c>
      <c r="G957" s="3">
        <v>5</v>
      </c>
      <c r="H957" s="3">
        <v>5</v>
      </c>
      <c r="I957" s="3">
        <v>4</v>
      </c>
      <c r="J957" s="3">
        <v>5</v>
      </c>
      <c r="K957" s="3">
        <v>3</v>
      </c>
      <c r="L957" s="3">
        <v>5</v>
      </c>
      <c r="M957" s="3">
        <v>5</v>
      </c>
    </row>
    <row r="958" spans="1:13">
      <c r="A958" t="s">
        <v>484</v>
      </c>
      <c r="B958" t="s">
        <v>32</v>
      </c>
      <c r="C958" t="s">
        <v>567</v>
      </c>
      <c r="D958" t="s">
        <v>3</v>
      </c>
      <c r="E958" t="s">
        <v>685</v>
      </c>
      <c r="F958" s="2">
        <v>43800</v>
      </c>
      <c r="G958" s="3">
        <v>4</v>
      </c>
      <c r="H958" s="3">
        <v>4</v>
      </c>
      <c r="I958" s="3">
        <v>4</v>
      </c>
      <c r="J958" s="3">
        <v>4</v>
      </c>
      <c r="K958" s="3">
        <v>4</v>
      </c>
      <c r="L958" s="3">
        <v>4</v>
      </c>
      <c r="M958" s="3">
        <v>4</v>
      </c>
    </row>
    <row r="959" spans="1:13">
      <c r="A959" t="s">
        <v>414</v>
      </c>
      <c r="B959" t="s">
        <v>50</v>
      </c>
      <c r="C959" t="s">
        <v>50</v>
      </c>
      <c r="D959" t="s">
        <v>55</v>
      </c>
      <c r="E959" t="s">
        <v>4</v>
      </c>
      <c r="F959" s="2">
        <v>43651</v>
      </c>
      <c r="G959" s="3">
        <v>3</v>
      </c>
      <c r="H959" s="3">
        <v>4</v>
      </c>
      <c r="I959" s="3">
        <v>3</v>
      </c>
      <c r="J959" s="3">
        <v>3</v>
      </c>
      <c r="K959" s="3">
        <v>4</v>
      </c>
      <c r="L959" s="3">
        <v>4</v>
      </c>
      <c r="M959" s="3">
        <v>5</v>
      </c>
    </row>
    <row r="960" spans="1:13">
      <c r="A960" t="s">
        <v>535</v>
      </c>
      <c r="B960" t="s">
        <v>558</v>
      </c>
      <c r="C960" t="s">
        <v>558</v>
      </c>
      <c r="D960" t="s">
        <v>3</v>
      </c>
      <c r="E960" t="s">
        <v>545</v>
      </c>
      <c r="F960" s="2">
        <v>43167</v>
      </c>
      <c r="G960" s="3">
        <v>5</v>
      </c>
      <c r="H960" s="3">
        <v>5</v>
      </c>
      <c r="I960" s="3">
        <v>5</v>
      </c>
      <c r="J960" s="3">
        <v>5</v>
      </c>
      <c r="K960" s="3">
        <v>5</v>
      </c>
      <c r="L960" s="3">
        <v>5</v>
      </c>
      <c r="M960" s="3">
        <v>5</v>
      </c>
    </row>
    <row r="961" spans="1:13">
      <c r="A961" t="s">
        <v>535</v>
      </c>
      <c r="B961" t="s">
        <v>485</v>
      </c>
      <c r="C961" t="s">
        <v>569</v>
      </c>
      <c r="D961" t="s">
        <v>3</v>
      </c>
      <c r="E961" t="s">
        <v>545</v>
      </c>
      <c r="F961" s="2">
        <v>43867</v>
      </c>
      <c r="G961" s="3">
        <v>5</v>
      </c>
      <c r="H961" s="3">
        <v>5</v>
      </c>
      <c r="I961" s="3">
        <v>5</v>
      </c>
      <c r="J961" s="3">
        <v>5</v>
      </c>
      <c r="K961" s="3">
        <v>5</v>
      </c>
      <c r="L961" s="3">
        <v>5</v>
      </c>
      <c r="M961" s="3">
        <v>5</v>
      </c>
    </row>
    <row r="962" spans="1:13">
      <c r="A962" t="s">
        <v>486</v>
      </c>
      <c r="B962" t="s">
        <v>2</v>
      </c>
      <c r="C962" t="s">
        <v>198</v>
      </c>
      <c r="D962" t="s">
        <v>3</v>
      </c>
      <c r="E962" t="s">
        <v>12</v>
      </c>
      <c r="F962" s="2">
        <v>43225</v>
      </c>
      <c r="G962" s="3">
        <v>1</v>
      </c>
      <c r="H962" s="3">
        <v>5</v>
      </c>
      <c r="I962" s="3">
        <v>5</v>
      </c>
      <c r="J962" s="3">
        <v>5</v>
      </c>
      <c r="K962" s="3">
        <v>5</v>
      </c>
      <c r="L962" s="3">
        <v>5</v>
      </c>
      <c r="M962" s="3">
        <v>5</v>
      </c>
    </row>
    <row r="963" spans="1:13">
      <c r="A963" t="s">
        <v>254</v>
      </c>
      <c r="B963" t="s">
        <v>286</v>
      </c>
      <c r="C963" t="s">
        <v>198</v>
      </c>
      <c r="D963" t="s">
        <v>3</v>
      </c>
      <c r="E963" t="s">
        <v>60</v>
      </c>
      <c r="F963" s="2">
        <v>43344</v>
      </c>
      <c r="G963" s="3">
        <v>3</v>
      </c>
      <c r="H963" s="3">
        <v>1</v>
      </c>
      <c r="I963" s="3">
        <v>2</v>
      </c>
      <c r="J963" s="3">
        <v>1</v>
      </c>
      <c r="K963" s="3">
        <v>1</v>
      </c>
      <c r="L963" s="3">
        <v>4</v>
      </c>
      <c r="M963" s="3">
        <v>1</v>
      </c>
    </row>
    <row r="964" spans="1:13">
      <c r="A964" t="s">
        <v>94</v>
      </c>
      <c r="B964" t="s">
        <v>383</v>
      </c>
      <c r="C964" t="s">
        <v>582</v>
      </c>
      <c r="D964" t="s">
        <v>3</v>
      </c>
      <c r="E964" t="s">
        <v>60</v>
      </c>
      <c r="F964" s="2">
        <v>43533</v>
      </c>
      <c r="G964" s="3">
        <v>4</v>
      </c>
      <c r="H964" s="3">
        <v>1</v>
      </c>
      <c r="I964" s="3">
        <v>3</v>
      </c>
      <c r="J964" s="3">
        <v>1</v>
      </c>
      <c r="K964" s="3">
        <v>1</v>
      </c>
      <c r="L964" s="3">
        <v>1</v>
      </c>
      <c r="M964" s="3">
        <v>1</v>
      </c>
    </row>
    <row r="965" spans="1:13">
      <c r="A965" t="s">
        <v>1</v>
      </c>
      <c r="B965" t="s">
        <v>2</v>
      </c>
      <c r="C965" t="s">
        <v>198</v>
      </c>
      <c r="D965" t="s">
        <v>3</v>
      </c>
      <c r="E965" t="s">
        <v>4</v>
      </c>
      <c r="F965" s="2">
        <v>43466</v>
      </c>
      <c r="G965" s="3">
        <v>4</v>
      </c>
      <c r="H965" s="3">
        <v>5</v>
      </c>
      <c r="I965" s="3">
        <v>5</v>
      </c>
      <c r="J965" s="3">
        <v>5</v>
      </c>
      <c r="K965" s="3">
        <v>5</v>
      </c>
      <c r="L965" s="3">
        <v>5</v>
      </c>
      <c r="M965" s="3">
        <v>5</v>
      </c>
    </row>
    <row r="966" spans="1:13">
      <c r="A966" t="s">
        <v>419</v>
      </c>
      <c r="B966" t="s">
        <v>2</v>
      </c>
      <c r="C966" t="s">
        <v>198</v>
      </c>
      <c r="D966" t="s">
        <v>3</v>
      </c>
      <c r="E966" t="s">
        <v>26</v>
      </c>
      <c r="F966" s="2">
        <v>43525</v>
      </c>
      <c r="G966" s="3">
        <v>3</v>
      </c>
      <c r="H966" s="3">
        <v>4</v>
      </c>
      <c r="I966" s="3">
        <v>4</v>
      </c>
      <c r="J966" s="3">
        <v>4</v>
      </c>
      <c r="K966" s="3">
        <v>4</v>
      </c>
      <c r="L966" s="3">
        <v>5</v>
      </c>
      <c r="M966" s="3">
        <v>3</v>
      </c>
    </row>
    <row r="967" spans="1:13">
      <c r="A967" t="s">
        <v>534</v>
      </c>
      <c r="B967" t="s">
        <v>2</v>
      </c>
      <c r="C967" t="s">
        <v>198</v>
      </c>
      <c r="D967" t="s">
        <v>55</v>
      </c>
      <c r="E967" t="s">
        <v>317</v>
      </c>
      <c r="F967" s="2">
        <v>43282</v>
      </c>
      <c r="G967" s="3">
        <v>4</v>
      </c>
      <c r="H967" s="3">
        <v>1</v>
      </c>
      <c r="I967" s="3">
        <v>2</v>
      </c>
      <c r="J967" s="3">
        <v>2</v>
      </c>
      <c r="K967" s="3">
        <v>2</v>
      </c>
      <c r="L967" s="3">
        <v>1</v>
      </c>
      <c r="M967" s="3">
        <v>2</v>
      </c>
    </row>
    <row r="968" spans="1:13">
      <c r="A968" t="s">
        <v>77</v>
      </c>
      <c r="B968" t="s">
        <v>286</v>
      </c>
      <c r="C968" t="s">
        <v>198</v>
      </c>
      <c r="D968" t="s">
        <v>55</v>
      </c>
      <c r="E968" t="s">
        <v>317</v>
      </c>
      <c r="F968" s="2">
        <v>43466</v>
      </c>
      <c r="G968" s="3">
        <v>5</v>
      </c>
      <c r="H968" s="3">
        <v>5</v>
      </c>
      <c r="I968" s="3">
        <v>5</v>
      </c>
      <c r="J968" s="3">
        <v>5</v>
      </c>
      <c r="K968" s="3">
        <v>5</v>
      </c>
      <c r="L968" s="3">
        <v>5</v>
      </c>
      <c r="M968" s="3">
        <v>4</v>
      </c>
    </row>
    <row r="969" spans="1:13">
      <c r="A969" t="s">
        <v>501</v>
      </c>
      <c r="B969" t="s">
        <v>383</v>
      </c>
      <c r="C969" t="s">
        <v>582</v>
      </c>
      <c r="D969" t="s">
        <v>3</v>
      </c>
      <c r="E969" t="s">
        <v>148</v>
      </c>
      <c r="F969" s="2">
        <v>43739</v>
      </c>
      <c r="G969" s="3">
        <v>1</v>
      </c>
      <c r="H969" s="3">
        <v>1</v>
      </c>
      <c r="I969" s="3">
        <v>1</v>
      </c>
      <c r="J969" s="3">
        <v>3</v>
      </c>
      <c r="K969" s="3">
        <v>1</v>
      </c>
      <c r="L969" s="3">
        <v>2</v>
      </c>
      <c r="M969" s="3">
        <v>1</v>
      </c>
    </row>
    <row r="970" spans="1:13">
      <c r="A970" t="s">
        <v>709</v>
      </c>
      <c r="B970" t="s">
        <v>2</v>
      </c>
      <c r="C970" t="s">
        <v>198</v>
      </c>
      <c r="D970" t="s">
        <v>3</v>
      </c>
      <c r="E970" t="s">
        <v>487</v>
      </c>
      <c r="F970" s="2">
        <v>43164</v>
      </c>
      <c r="G970" s="3">
        <v>5</v>
      </c>
      <c r="H970" s="3">
        <v>5</v>
      </c>
      <c r="I970" s="3">
        <v>5</v>
      </c>
      <c r="J970" s="3">
        <v>4</v>
      </c>
      <c r="K970" s="3">
        <v>5</v>
      </c>
      <c r="L970" s="3">
        <v>3</v>
      </c>
      <c r="M970" s="3">
        <v>5</v>
      </c>
    </row>
    <row r="971" spans="1:13">
      <c r="A971" t="s">
        <v>73</v>
      </c>
      <c r="B971" t="s">
        <v>2</v>
      </c>
      <c r="C971" t="s">
        <v>198</v>
      </c>
      <c r="D971" t="s">
        <v>3</v>
      </c>
      <c r="E971" t="s">
        <v>627</v>
      </c>
      <c r="F971" s="2">
        <v>44380</v>
      </c>
      <c r="G971" s="3">
        <v>5</v>
      </c>
      <c r="H971" s="3">
        <v>5</v>
      </c>
      <c r="I971" s="3">
        <v>5</v>
      </c>
      <c r="J971" s="3">
        <v>5</v>
      </c>
      <c r="K971" s="3">
        <v>5</v>
      </c>
      <c r="L971" s="3">
        <v>5</v>
      </c>
      <c r="M971" s="3">
        <v>5</v>
      </c>
    </row>
    <row r="972" spans="1:13">
      <c r="A972" t="s">
        <v>710</v>
      </c>
      <c r="B972" t="s">
        <v>2</v>
      </c>
      <c r="C972" t="s">
        <v>198</v>
      </c>
      <c r="D972" t="s">
        <v>3</v>
      </c>
      <c r="E972" t="s">
        <v>43</v>
      </c>
      <c r="F972" s="2">
        <v>43320</v>
      </c>
      <c r="G972" s="3">
        <v>1</v>
      </c>
      <c r="H972" s="3">
        <v>1</v>
      </c>
      <c r="I972" s="3">
        <v>1</v>
      </c>
      <c r="J972" s="3">
        <v>1</v>
      </c>
      <c r="K972" s="3">
        <v>1</v>
      </c>
      <c r="L972" s="3">
        <v>1</v>
      </c>
      <c r="M972" s="3">
        <v>1</v>
      </c>
    </row>
    <row r="973" spans="1:13">
      <c r="A973" t="s">
        <v>558</v>
      </c>
      <c r="B973" t="s">
        <v>488</v>
      </c>
      <c r="C973" t="s">
        <v>198</v>
      </c>
      <c r="D973" t="s">
        <v>558</v>
      </c>
      <c r="E973" t="s">
        <v>489</v>
      </c>
      <c r="F973" s="2">
        <v>43499</v>
      </c>
      <c r="G973" s="3">
        <v>4</v>
      </c>
      <c r="H973" s="3">
        <v>5</v>
      </c>
      <c r="I973" s="3">
        <v>4</v>
      </c>
      <c r="J973" s="3">
        <v>3</v>
      </c>
      <c r="K973" s="3">
        <v>3</v>
      </c>
      <c r="L973" s="3">
        <v>4</v>
      </c>
      <c r="M973" s="3">
        <v>5</v>
      </c>
    </row>
    <row r="974" spans="1:13">
      <c r="A974" t="s">
        <v>126</v>
      </c>
      <c r="B974" t="s">
        <v>558</v>
      </c>
      <c r="C974" t="s">
        <v>558</v>
      </c>
      <c r="D974" t="s">
        <v>3</v>
      </c>
      <c r="E974" t="s">
        <v>489</v>
      </c>
      <c r="F974" s="2">
        <v>43501</v>
      </c>
      <c r="G974" s="3">
        <v>3</v>
      </c>
      <c r="H974" s="3">
        <v>1</v>
      </c>
      <c r="I974" s="3">
        <v>2</v>
      </c>
      <c r="J974" s="3">
        <v>2</v>
      </c>
      <c r="K974" s="3">
        <v>1</v>
      </c>
      <c r="L974" s="3">
        <v>2</v>
      </c>
      <c r="M974" s="3">
        <v>1</v>
      </c>
    </row>
    <row r="975" spans="1:13">
      <c r="A975" t="s">
        <v>534</v>
      </c>
      <c r="B975" t="s">
        <v>2</v>
      </c>
      <c r="C975" t="s">
        <v>198</v>
      </c>
      <c r="D975" t="s">
        <v>55</v>
      </c>
      <c r="E975" t="s">
        <v>317</v>
      </c>
      <c r="F975" s="2">
        <v>44078</v>
      </c>
      <c r="G975" s="3">
        <v>4</v>
      </c>
      <c r="H975" s="3">
        <v>1</v>
      </c>
      <c r="I975" s="3">
        <v>2</v>
      </c>
      <c r="J975" s="3">
        <v>2</v>
      </c>
      <c r="K975" s="3">
        <v>1</v>
      </c>
      <c r="L975" s="3">
        <v>2</v>
      </c>
      <c r="M975" s="3">
        <v>1</v>
      </c>
    </row>
    <row r="976" spans="1:13">
      <c r="A976" t="s">
        <v>592</v>
      </c>
      <c r="B976" t="s">
        <v>8</v>
      </c>
      <c r="C976" t="s">
        <v>570</v>
      </c>
      <c r="D976" t="s">
        <v>3</v>
      </c>
      <c r="E976" t="s">
        <v>146</v>
      </c>
      <c r="F976" s="2">
        <v>43468</v>
      </c>
      <c r="G976" s="3">
        <v>4</v>
      </c>
      <c r="H976" s="3">
        <v>4</v>
      </c>
      <c r="I976" s="3">
        <v>4</v>
      </c>
      <c r="J976" s="3">
        <v>3</v>
      </c>
      <c r="K976" s="3">
        <v>3</v>
      </c>
      <c r="L976" s="3">
        <v>4</v>
      </c>
      <c r="M976" s="3">
        <v>4</v>
      </c>
    </row>
    <row r="977" spans="1:13">
      <c r="A977" t="s">
        <v>593</v>
      </c>
      <c r="B977" t="s">
        <v>490</v>
      </c>
      <c r="C977" t="s">
        <v>198</v>
      </c>
      <c r="D977" t="s">
        <v>3</v>
      </c>
      <c r="E977" t="s">
        <v>162</v>
      </c>
      <c r="F977" s="2">
        <v>43586</v>
      </c>
      <c r="G977" s="3">
        <v>5</v>
      </c>
      <c r="H977" s="3">
        <v>3</v>
      </c>
      <c r="I977" s="3">
        <v>3</v>
      </c>
      <c r="J977" s="3">
        <v>2</v>
      </c>
      <c r="K977" s="3">
        <v>3</v>
      </c>
      <c r="L977" s="3">
        <v>5</v>
      </c>
      <c r="M977" s="3">
        <v>3</v>
      </c>
    </row>
    <row r="978" spans="1:13">
      <c r="A978" t="s">
        <v>73</v>
      </c>
      <c r="B978" t="s">
        <v>491</v>
      </c>
      <c r="C978" t="s">
        <v>574</v>
      </c>
      <c r="D978" t="s">
        <v>3</v>
      </c>
      <c r="E978" t="s">
        <v>23</v>
      </c>
      <c r="F978" s="2">
        <v>43321</v>
      </c>
      <c r="G978" s="3">
        <v>4</v>
      </c>
      <c r="H978" s="3">
        <v>3</v>
      </c>
      <c r="I978" s="3">
        <v>4</v>
      </c>
      <c r="J978" s="3">
        <v>3</v>
      </c>
      <c r="K978" s="3">
        <v>2</v>
      </c>
      <c r="L978" s="3">
        <v>4</v>
      </c>
      <c r="M978" s="3">
        <v>4</v>
      </c>
    </row>
    <row r="979" spans="1:13">
      <c r="A979" t="s">
        <v>170</v>
      </c>
      <c r="B979" t="s">
        <v>2</v>
      </c>
      <c r="C979" t="s">
        <v>198</v>
      </c>
      <c r="D979" t="s">
        <v>3</v>
      </c>
      <c r="E979" t="s">
        <v>23</v>
      </c>
      <c r="F979" s="2">
        <v>43166</v>
      </c>
      <c r="G979" s="3">
        <v>5</v>
      </c>
      <c r="H979" s="3">
        <v>5</v>
      </c>
      <c r="I979" s="3">
        <v>5</v>
      </c>
      <c r="J979" s="3">
        <v>5</v>
      </c>
      <c r="K979" s="3">
        <v>5</v>
      </c>
      <c r="L979" s="3">
        <v>5</v>
      </c>
      <c r="M979" s="3">
        <v>5</v>
      </c>
    </row>
    <row r="980" spans="1:13">
      <c r="A980" t="s">
        <v>73</v>
      </c>
      <c r="B980" t="s">
        <v>558</v>
      </c>
      <c r="C980" t="s">
        <v>558</v>
      </c>
      <c r="D980" t="s">
        <v>3</v>
      </c>
      <c r="E980" t="s">
        <v>23</v>
      </c>
      <c r="F980" s="2">
        <v>43984</v>
      </c>
      <c r="G980" s="3">
        <v>5</v>
      </c>
      <c r="H980" s="3">
        <v>5</v>
      </c>
      <c r="I980" s="3">
        <v>5</v>
      </c>
      <c r="J980" s="3">
        <v>5</v>
      </c>
      <c r="K980" s="3">
        <v>5</v>
      </c>
      <c r="L980" s="3">
        <v>5</v>
      </c>
      <c r="M980" s="3">
        <v>5</v>
      </c>
    </row>
    <row r="981" spans="1:13">
      <c r="A981" t="s">
        <v>16</v>
      </c>
      <c r="B981" t="s">
        <v>397</v>
      </c>
      <c r="C981" t="s">
        <v>577</v>
      </c>
      <c r="D981" t="s">
        <v>3</v>
      </c>
      <c r="E981" t="s">
        <v>201</v>
      </c>
      <c r="F981" s="2">
        <v>43466</v>
      </c>
      <c r="G981" s="3">
        <v>5</v>
      </c>
      <c r="H981" s="3">
        <v>5</v>
      </c>
      <c r="I981" s="3">
        <v>5</v>
      </c>
      <c r="J981" s="3">
        <v>5</v>
      </c>
      <c r="K981" s="3">
        <v>5</v>
      </c>
      <c r="L981" s="3">
        <v>5</v>
      </c>
      <c r="M981" s="3">
        <v>5</v>
      </c>
    </row>
    <row r="982" spans="1:13">
      <c r="A982" t="s">
        <v>492</v>
      </c>
      <c r="B982" t="s">
        <v>2</v>
      </c>
      <c r="C982" t="s">
        <v>198</v>
      </c>
      <c r="D982" t="s">
        <v>3</v>
      </c>
      <c r="E982" t="s">
        <v>23</v>
      </c>
      <c r="F982" s="2">
        <v>43313</v>
      </c>
      <c r="G982" s="3">
        <v>4</v>
      </c>
      <c r="H982" s="3">
        <v>5</v>
      </c>
      <c r="I982" s="3">
        <v>4</v>
      </c>
      <c r="J982" s="3">
        <v>3</v>
      </c>
      <c r="K982" s="3">
        <v>5</v>
      </c>
      <c r="L982" s="3">
        <v>4</v>
      </c>
      <c r="M982" s="3">
        <v>4</v>
      </c>
    </row>
    <row r="983" spans="1:13">
      <c r="A983" t="s">
        <v>535</v>
      </c>
      <c r="B983" t="s">
        <v>318</v>
      </c>
      <c r="C983" t="s">
        <v>358</v>
      </c>
      <c r="D983" t="s">
        <v>3</v>
      </c>
      <c r="E983" t="s">
        <v>493</v>
      </c>
      <c r="F983" s="2">
        <v>43625</v>
      </c>
      <c r="G983" s="3">
        <v>4</v>
      </c>
      <c r="H983" s="3">
        <v>5</v>
      </c>
      <c r="I983" s="3">
        <v>4</v>
      </c>
      <c r="J983" s="3">
        <v>3</v>
      </c>
      <c r="K983" s="3">
        <v>5</v>
      </c>
      <c r="L983" s="3">
        <v>4</v>
      </c>
      <c r="M983" s="3">
        <v>4</v>
      </c>
    </row>
    <row r="984" spans="1:13">
      <c r="A984" t="s">
        <v>535</v>
      </c>
      <c r="B984" t="s">
        <v>558</v>
      </c>
      <c r="C984" t="s">
        <v>558</v>
      </c>
      <c r="D984" t="s">
        <v>3</v>
      </c>
      <c r="E984" t="s">
        <v>494</v>
      </c>
      <c r="F984" s="2">
        <v>43252</v>
      </c>
      <c r="G984" s="3">
        <v>4</v>
      </c>
      <c r="H984" s="3">
        <v>3</v>
      </c>
      <c r="I984" s="3">
        <v>4</v>
      </c>
      <c r="J984" s="3">
        <v>2</v>
      </c>
      <c r="K984" s="3">
        <v>3</v>
      </c>
      <c r="L984" s="3">
        <v>2</v>
      </c>
      <c r="M984" s="3">
        <v>4</v>
      </c>
    </row>
    <row r="985" spans="1:13">
      <c r="A985" t="s">
        <v>495</v>
      </c>
      <c r="B985" t="s">
        <v>2</v>
      </c>
      <c r="C985" t="s">
        <v>198</v>
      </c>
      <c r="D985" t="s">
        <v>3</v>
      </c>
      <c r="E985" t="s">
        <v>23</v>
      </c>
      <c r="F985" s="2">
        <v>43742</v>
      </c>
      <c r="G985" s="3">
        <v>5</v>
      </c>
      <c r="H985" s="3">
        <v>4</v>
      </c>
      <c r="I985" s="3">
        <v>4</v>
      </c>
      <c r="J985" s="3">
        <v>4</v>
      </c>
      <c r="K985" s="3">
        <v>4</v>
      </c>
      <c r="L985" s="3">
        <v>4</v>
      </c>
      <c r="M985" s="3">
        <v>4</v>
      </c>
    </row>
    <row r="986" spans="1:13">
      <c r="A986" t="s">
        <v>77</v>
      </c>
      <c r="B986" t="s">
        <v>2</v>
      </c>
      <c r="C986" t="s">
        <v>198</v>
      </c>
      <c r="D986" t="s">
        <v>55</v>
      </c>
      <c r="E986" t="s">
        <v>496</v>
      </c>
      <c r="F986" s="2">
        <v>43558</v>
      </c>
      <c r="G986" s="3">
        <v>5</v>
      </c>
      <c r="H986" s="3">
        <v>5</v>
      </c>
      <c r="I986" s="3">
        <v>5</v>
      </c>
      <c r="J986" s="3">
        <v>5</v>
      </c>
      <c r="K986" s="3">
        <v>5</v>
      </c>
      <c r="L986" s="3">
        <v>5</v>
      </c>
      <c r="M986" s="3">
        <v>5</v>
      </c>
    </row>
    <row r="987" spans="1:13">
      <c r="A987" t="s">
        <v>366</v>
      </c>
      <c r="B987" t="s">
        <v>558</v>
      </c>
      <c r="C987" t="s">
        <v>558</v>
      </c>
      <c r="D987" t="s">
        <v>3</v>
      </c>
      <c r="E987" t="s">
        <v>617</v>
      </c>
      <c r="F987" s="2">
        <v>43528</v>
      </c>
      <c r="G987" s="3">
        <v>1</v>
      </c>
      <c r="H987" s="3">
        <v>5</v>
      </c>
      <c r="I987" s="3">
        <v>5</v>
      </c>
      <c r="J987" s="3">
        <v>5</v>
      </c>
      <c r="K987" s="3">
        <v>5</v>
      </c>
      <c r="L987" s="3">
        <v>5</v>
      </c>
      <c r="M987" s="3">
        <v>5</v>
      </c>
    </row>
    <row r="988" spans="1:13">
      <c r="A988" t="s">
        <v>558</v>
      </c>
      <c r="B988" t="s">
        <v>564</v>
      </c>
      <c r="C988" t="s">
        <v>50</v>
      </c>
      <c r="D988" t="s">
        <v>558</v>
      </c>
      <c r="E988" t="s">
        <v>497</v>
      </c>
      <c r="F988" s="2">
        <v>43407</v>
      </c>
      <c r="G988" s="3">
        <v>4</v>
      </c>
      <c r="H988" s="3">
        <v>4</v>
      </c>
      <c r="I988" s="3">
        <v>4</v>
      </c>
      <c r="J988" s="3">
        <v>3</v>
      </c>
      <c r="K988" s="3">
        <v>4</v>
      </c>
      <c r="L988" s="3">
        <v>2</v>
      </c>
      <c r="M988" s="3">
        <v>4</v>
      </c>
    </row>
    <row r="989" spans="1:13">
      <c r="A989" t="s">
        <v>498</v>
      </c>
      <c r="B989" t="s">
        <v>243</v>
      </c>
      <c r="C989" t="s">
        <v>574</v>
      </c>
      <c r="D989" t="s">
        <v>55</v>
      </c>
      <c r="E989" t="s">
        <v>616</v>
      </c>
      <c r="F989" s="2">
        <v>43808</v>
      </c>
      <c r="G989" s="3">
        <v>4</v>
      </c>
      <c r="H989" s="3">
        <v>4</v>
      </c>
      <c r="I989" s="3">
        <v>4</v>
      </c>
      <c r="J989" s="3">
        <v>3</v>
      </c>
      <c r="K989" s="3">
        <v>4</v>
      </c>
      <c r="L989" s="3">
        <v>3</v>
      </c>
      <c r="M989" s="3">
        <v>3</v>
      </c>
    </row>
    <row r="990" spans="1:13">
      <c r="A990" t="s">
        <v>94</v>
      </c>
      <c r="B990" t="s">
        <v>383</v>
      </c>
      <c r="C990" t="s">
        <v>582</v>
      </c>
      <c r="D990" t="s">
        <v>3</v>
      </c>
      <c r="E990" t="s">
        <v>617</v>
      </c>
      <c r="F990" s="2">
        <v>43344</v>
      </c>
      <c r="G990" s="3">
        <v>5</v>
      </c>
      <c r="H990" s="3">
        <v>5</v>
      </c>
      <c r="I990" s="3">
        <v>5</v>
      </c>
      <c r="J990" s="3">
        <v>5</v>
      </c>
      <c r="K990" s="3">
        <v>5</v>
      </c>
      <c r="L990" s="3">
        <v>5</v>
      </c>
      <c r="M990" s="3">
        <v>5</v>
      </c>
    </row>
    <row r="991" spans="1:13">
      <c r="A991" t="s">
        <v>324</v>
      </c>
      <c r="B991" t="s">
        <v>558</v>
      </c>
      <c r="C991" t="s">
        <v>558</v>
      </c>
      <c r="D991" t="s">
        <v>3</v>
      </c>
      <c r="E991" t="s">
        <v>494</v>
      </c>
      <c r="F991" s="2">
        <v>42982</v>
      </c>
      <c r="G991" s="3">
        <v>5</v>
      </c>
      <c r="H991" s="3">
        <v>5</v>
      </c>
      <c r="I991" s="3">
        <v>5</v>
      </c>
      <c r="J991" s="3">
        <v>5</v>
      </c>
      <c r="K991" s="3">
        <v>5</v>
      </c>
      <c r="L991" s="3">
        <v>5</v>
      </c>
      <c r="M991" s="3">
        <v>5</v>
      </c>
    </row>
    <row r="992" spans="1:13">
      <c r="A992" t="s">
        <v>499</v>
      </c>
      <c r="B992" t="s">
        <v>286</v>
      </c>
      <c r="C992" t="s">
        <v>198</v>
      </c>
      <c r="D992" t="s">
        <v>3</v>
      </c>
      <c r="E992" t="s">
        <v>23</v>
      </c>
      <c r="F992" s="2">
        <v>43503</v>
      </c>
      <c r="G992" s="3">
        <v>4</v>
      </c>
      <c r="H992" s="3">
        <v>5</v>
      </c>
      <c r="I992" s="3">
        <v>5</v>
      </c>
      <c r="J992" s="3">
        <v>4</v>
      </c>
      <c r="K992" s="3">
        <v>5</v>
      </c>
      <c r="L992" s="3">
        <v>4</v>
      </c>
      <c r="M992" s="3">
        <v>5</v>
      </c>
    </row>
    <row r="993" spans="1:13">
      <c r="A993" t="s">
        <v>535</v>
      </c>
      <c r="B993" t="s">
        <v>558</v>
      </c>
      <c r="C993" t="s">
        <v>558</v>
      </c>
      <c r="D993" t="s">
        <v>3</v>
      </c>
      <c r="E993" t="s">
        <v>494</v>
      </c>
      <c r="F993" s="2">
        <v>43289</v>
      </c>
      <c r="G993" s="3">
        <v>5</v>
      </c>
      <c r="H993" s="3">
        <v>5</v>
      </c>
      <c r="I993" s="3">
        <v>5</v>
      </c>
      <c r="J993" s="3">
        <v>4</v>
      </c>
      <c r="K993" s="3">
        <v>5</v>
      </c>
      <c r="L993" s="3">
        <v>4</v>
      </c>
      <c r="M993" s="3">
        <v>5</v>
      </c>
    </row>
    <row r="994" spans="1:13">
      <c r="A994" t="s">
        <v>91</v>
      </c>
      <c r="B994" t="s">
        <v>195</v>
      </c>
      <c r="C994" t="s">
        <v>712</v>
      </c>
      <c r="D994" t="s">
        <v>3</v>
      </c>
      <c r="E994" t="s">
        <v>63</v>
      </c>
      <c r="F994" s="2">
        <v>44743</v>
      </c>
      <c r="G994" s="3">
        <v>5</v>
      </c>
      <c r="H994" s="3">
        <v>5</v>
      </c>
      <c r="I994" s="3">
        <v>5</v>
      </c>
      <c r="J994" s="3">
        <v>5</v>
      </c>
      <c r="K994" s="3">
        <v>5</v>
      </c>
      <c r="L994" s="3">
        <v>5</v>
      </c>
      <c r="M994" s="3">
        <v>5</v>
      </c>
    </row>
    <row r="995" spans="1:13">
      <c r="A995" t="s">
        <v>500</v>
      </c>
      <c r="B995" t="s">
        <v>2</v>
      </c>
      <c r="C995" t="s">
        <v>198</v>
      </c>
      <c r="D995" t="s">
        <v>3</v>
      </c>
      <c r="E995" t="s">
        <v>23</v>
      </c>
      <c r="F995" s="2">
        <v>43469</v>
      </c>
      <c r="G995" s="3">
        <v>5</v>
      </c>
      <c r="H995" s="3">
        <v>5</v>
      </c>
      <c r="I995" s="3">
        <v>5</v>
      </c>
      <c r="J995" s="3">
        <v>5</v>
      </c>
      <c r="K995" s="3">
        <v>5</v>
      </c>
      <c r="L995" s="3">
        <v>5</v>
      </c>
      <c r="M995" s="3">
        <v>5</v>
      </c>
    </row>
    <row r="996" spans="1:13">
      <c r="A996" t="s">
        <v>501</v>
      </c>
      <c r="B996" t="s">
        <v>8</v>
      </c>
      <c r="C996" t="s">
        <v>570</v>
      </c>
      <c r="D996" t="s">
        <v>3</v>
      </c>
      <c r="E996" t="s">
        <v>627</v>
      </c>
      <c r="F996" s="2">
        <v>43654</v>
      </c>
      <c r="G996" s="3">
        <v>5</v>
      </c>
      <c r="H996" s="3">
        <v>4</v>
      </c>
      <c r="I996" s="3">
        <v>5</v>
      </c>
      <c r="J996" s="3">
        <v>4</v>
      </c>
      <c r="K996" s="3">
        <v>5</v>
      </c>
      <c r="L996" s="3">
        <v>5</v>
      </c>
      <c r="M996" s="3">
        <v>4</v>
      </c>
    </row>
    <row r="997" spans="1:13">
      <c r="A997" t="s">
        <v>171</v>
      </c>
      <c r="B997" t="s">
        <v>192</v>
      </c>
      <c r="C997" t="s">
        <v>192</v>
      </c>
      <c r="D997" t="s">
        <v>3</v>
      </c>
      <c r="E997" t="s">
        <v>502</v>
      </c>
      <c r="F997" s="2">
        <v>43283</v>
      </c>
      <c r="G997" s="3">
        <v>5</v>
      </c>
      <c r="H997" s="3">
        <v>5</v>
      </c>
      <c r="I997" s="3">
        <v>5</v>
      </c>
      <c r="J997" s="3">
        <v>5</v>
      </c>
      <c r="K997" s="3">
        <v>5</v>
      </c>
      <c r="L997" s="3">
        <v>5</v>
      </c>
      <c r="M997" s="3">
        <v>5</v>
      </c>
    </row>
    <row r="998" spans="1:13">
      <c r="A998" t="s">
        <v>293</v>
      </c>
      <c r="B998" t="s">
        <v>558</v>
      </c>
      <c r="C998" t="s">
        <v>558</v>
      </c>
      <c r="D998" t="s">
        <v>3</v>
      </c>
      <c r="E998" t="s">
        <v>558</v>
      </c>
      <c r="F998" s="2">
        <v>43379</v>
      </c>
      <c r="G998" s="3">
        <v>5</v>
      </c>
      <c r="H998" s="3">
        <v>4</v>
      </c>
      <c r="I998" s="3">
        <v>4</v>
      </c>
      <c r="J998" s="3">
        <v>5</v>
      </c>
      <c r="K998" s="3">
        <v>4</v>
      </c>
      <c r="L998" s="3">
        <v>4</v>
      </c>
      <c r="M998" s="3">
        <v>4</v>
      </c>
    </row>
    <row r="999" spans="1:13">
      <c r="A999" t="s">
        <v>503</v>
      </c>
      <c r="B999" t="s">
        <v>558</v>
      </c>
      <c r="C999" t="s">
        <v>558</v>
      </c>
      <c r="D999" t="s">
        <v>3</v>
      </c>
      <c r="E999" t="s">
        <v>4</v>
      </c>
      <c r="F999" s="2">
        <v>43410</v>
      </c>
      <c r="G999" s="3">
        <v>5</v>
      </c>
      <c r="H999" s="3">
        <v>4</v>
      </c>
      <c r="I999" s="3">
        <v>4</v>
      </c>
      <c r="J999" s="3">
        <v>5</v>
      </c>
      <c r="K999" s="3">
        <v>4</v>
      </c>
      <c r="L999" s="3">
        <v>4</v>
      </c>
      <c r="M999" s="3">
        <v>4</v>
      </c>
    </row>
    <row r="1000" spans="1:13">
      <c r="A1000" t="s">
        <v>115</v>
      </c>
      <c r="B1000" t="s">
        <v>2</v>
      </c>
      <c r="C1000" t="s">
        <v>198</v>
      </c>
      <c r="D1000" t="s">
        <v>3</v>
      </c>
      <c r="E1000" t="s">
        <v>23</v>
      </c>
      <c r="F1000" s="2">
        <v>43380</v>
      </c>
      <c r="G1000" s="3">
        <v>5</v>
      </c>
      <c r="H1000" s="3">
        <v>5</v>
      </c>
      <c r="I1000" s="3">
        <v>5</v>
      </c>
      <c r="J1000" s="3">
        <v>5</v>
      </c>
      <c r="K1000" s="3">
        <v>5</v>
      </c>
      <c r="L1000" s="3">
        <v>5</v>
      </c>
      <c r="M1000" s="3">
        <v>5</v>
      </c>
    </row>
    <row r="1001" spans="1:13">
      <c r="A1001" t="s">
        <v>227</v>
      </c>
      <c r="B1001" t="s">
        <v>78</v>
      </c>
      <c r="C1001" t="s">
        <v>569</v>
      </c>
      <c r="D1001" t="s">
        <v>3</v>
      </c>
      <c r="E1001" t="s">
        <v>148</v>
      </c>
      <c r="F1001" s="2">
        <v>43379</v>
      </c>
      <c r="G1001" s="3">
        <v>4</v>
      </c>
      <c r="H1001" s="3">
        <v>5</v>
      </c>
      <c r="I1001" s="3">
        <v>5</v>
      </c>
      <c r="J1001" s="3">
        <v>5</v>
      </c>
      <c r="K1001" s="3">
        <v>5</v>
      </c>
      <c r="L1001" s="3">
        <v>5</v>
      </c>
      <c r="M1001" s="3">
        <v>5</v>
      </c>
    </row>
    <row r="1002" spans="1:13">
      <c r="A1002" t="s">
        <v>170</v>
      </c>
      <c r="B1002" t="s">
        <v>558</v>
      </c>
      <c r="C1002" t="s">
        <v>558</v>
      </c>
      <c r="D1002" t="s">
        <v>3</v>
      </c>
      <c r="E1002" t="s">
        <v>122</v>
      </c>
      <c r="F1002" s="2">
        <v>43168</v>
      </c>
      <c r="G1002" s="3">
        <v>1</v>
      </c>
      <c r="H1002" s="3">
        <v>5</v>
      </c>
      <c r="I1002" s="3">
        <v>5</v>
      </c>
      <c r="J1002" s="3">
        <v>5</v>
      </c>
      <c r="K1002" s="3">
        <v>5</v>
      </c>
      <c r="L1002" s="3">
        <v>5</v>
      </c>
      <c r="M1002" s="3">
        <v>5</v>
      </c>
    </row>
    <row r="1003" spans="1:13">
      <c r="A1003" t="s">
        <v>711</v>
      </c>
      <c r="B1003" t="s">
        <v>558</v>
      </c>
      <c r="C1003" t="s">
        <v>558</v>
      </c>
      <c r="D1003" t="s">
        <v>3</v>
      </c>
      <c r="E1003" t="s">
        <v>201</v>
      </c>
      <c r="F1003" s="2">
        <v>43532</v>
      </c>
      <c r="G1003" s="3">
        <v>4</v>
      </c>
      <c r="H1003" s="3">
        <v>4</v>
      </c>
      <c r="I1003" s="3">
        <v>4</v>
      </c>
      <c r="J1003" s="3">
        <v>2</v>
      </c>
      <c r="K1003" s="3">
        <v>4</v>
      </c>
      <c r="L1003" s="3">
        <v>4</v>
      </c>
      <c r="M1003" s="3">
        <v>3</v>
      </c>
    </row>
    <row r="1004" spans="1:13">
      <c r="A1004" t="s">
        <v>218</v>
      </c>
      <c r="B1004" t="s">
        <v>558</v>
      </c>
      <c r="C1004" t="s">
        <v>558</v>
      </c>
      <c r="D1004" t="s">
        <v>3</v>
      </c>
      <c r="E1004" t="s">
        <v>43</v>
      </c>
      <c r="F1004" s="2">
        <v>43378</v>
      </c>
      <c r="G1004" s="3">
        <v>5</v>
      </c>
      <c r="H1004" s="3">
        <v>1</v>
      </c>
      <c r="I1004" s="3">
        <v>1</v>
      </c>
      <c r="J1004" s="3">
        <v>1</v>
      </c>
      <c r="K1004" s="3">
        <v>1</v>
      </c>
      <c r="L1004" s="3">
        <v>1</v>
      </c>
      <c r="M1004" s="3">
        <v>1</v>
      </c>
    </row>
    <row r="1005" spans="1:13">
      <c r="A1005" t="s">
        <v>535</v>
      </c>
      <c r="B1005" t="s">
        <v>558</v>
      </c>
      <c r="C1005" t="s">
        <v>558</v>
      </c>
      <c r="D1005" t="s">
        <v>3</v>
      </c>
      <c r="E1005" t="s">
        <v>494</v>
      </c>
      <c r="F1005" s="2">
        <v>43499</v>
      </c>
      <c r="G1005" s="3">
        <v>5</v>
      </c>
      <c r="H1005" s="3">
        <v>1</v>
      </c>
      <c r="I1005" s="3">
        <v>1</v>
      </c>
      <c r="J1005" s="3">
        <v>1</v>
      </c>
      <c r="K1005" s="3">
        <v>1</v>
      </c>
      <c r="L1005" s="3">
        <v>1</v>
      </c>
      <c r="M1005" s="3">
        <v>1</v>
      </c>
    </row>
    <row r="1006" spans="1:13">
      <c r="A1006" t="s">
        <v>602</v>
      </c>
      <c r="B1006" t="s">
        <v>78</v>
      </c>
      <c r="C1006" t="s">
        <v>569</v>
      </c>
      <c r="D1006" t="s">
        <v>3</v>
      </c>
      <c r="E1006" t="s">
        <v>494</v>
      </c>
      <c r="F1006" s="2">
        <v>43800</v>
      </c>
      <c r="G1006" s="6">
        <f>MEDIAN(G2:G1005)</f>
        <v>4</v>
      </c>
      <c r="H1006" s="3">
        <v>3</v>
      </c>
      <c r="I1006" s="3">
        <v>4</v>
      </c>
      <c r="J1006" s="3">
        <v>3</v>
      </c>
      <c r="K1006" s="3">
        <v>5</v>
      </c>
      <c r="L1006" s="3">
        <v>3</v>
      </c>
      <c r="M1006" s="3">
        <v>5</v>
      </c>
    </row>
    <row r="1007" spans="1:13">
      <c r="A1007" t="s">
        <v>535</v>
      </c>
      <c r="B1007" t="s">
        <v>558</v>
      </c>
      <c r="C1007" t="s">
        <v>558</v>
      </c>
      <c r="D1007" t="s">
        <v>3</v>
      </c>
      <c r="E1007" t="s">
        <v>504</v>
      </c>
      <c r="F1007" s="2">
        <v>43742</v>
      </c>
      <c r="G1007" s="6">
        <f t="shared" ref="G1007:G1008" si="0">MEDIAN(G3:G1006)</f>
        <v>4</v>
      </c>
      <c r="H1007" s="3">
        <v>3</v>
      </c>
      <c r="I1007" s="3">
        <v>4</v>
      </c>
      <c r="J1007" s="3">
        <v>3</v>
      </c>
      <c r="K1007" s="3">
        <v>5</v>
      </c>
      <c r="L1007" s="3">
        <v>3</v>
      </c>
      <c r="M1007" s="3">
        <v>5</v>
      </c>
    </row>
    <row r="1008" spans="1:13">
      <c r="A1008" t="s">
        <v>505</v>
      </c>
      <c r="B1008" t="s">
        <v>558</v>
      </c>
      <c r="C1008" t="s">
        <v>558</v>
      </c>
      <c r="D1008" t="s">
        <v>3</v>
      </c>
      <c r="E1008" t="s">
        <v>34</v>
      </c>
      <c r="F1008" s="2">
        <v>43166</v>
      </c>
      <c r="G1008" s="6">
        <f t="shared" si="0"/>
        <v>4</v>
      </c>
      <c r="H1008" s="3">
        <v>1</v>
      </c>
      <c r="I1008" s="3">
        <v>1</v>
      </c>
      <c r="J1008" s="3">
        <v>1</v>
      </c>
      <c r="K1008" s="3">
        <v>1</v>
      </c>
      <c r="L1008" s="3">
        <v>1</v>
      </c>
      <c r="M100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Aleena Mathew</cp:lastModifiedBy>
  <dcterms:created xsi:type="dcterms:W3CDTF">2026-06-06T17:47:06Z</dcterms:created>
  <dcterms:modified xsi:type="dcterms:W3CDTF">2026-09-24T13:49:22Z</dcterms:modified>
</cp:coreProperties>
</file>